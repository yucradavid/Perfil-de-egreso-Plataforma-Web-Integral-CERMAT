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éame" sheetId="1" r:id="rId1"/>
    <sheet name="Supuestos" sheetId="2" r:id="rId2"/>
    <sheet name="Proceso" sheetId="3" r:id="rId3"/>
    <sheet name="Presupuesto" sheetId="4" r:id="rId4"/>
    <sheet name="Flujo de caja" sheetId="5" r:id="rId5"/>
    <sheet name="Indicadores" sheetId="6" r:id="rId6"/>
    <sheet name="Sensibilidad" sheetId="7" r:id="rId7"/>
    <sheet name="Alternativa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60" formatCode="0.0%"/>
    <numFmt numFmtId="61" formatCode="0.0"/>
    <numFmt numFmtId="62" formatCode="&quot;S/ &quot;#,##0;&quot;S/ -&quot;#,##0"/>
    <numFmt numFmtId="63" formatCode="&quot;US$ &quot;#,##0.00"/>
    <numFmt numFmtId="64" formatCode="&quot;S/ &quot;#,##0.00;&quot;S/ -&quot;#,##0.00"/>
    <numFmt numFmtId="65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60" fontId="0" fillId="0" borderId="0" xfId="0" applyNumberFormat="1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80.83203125" customWidth="1"/>
  </cols>
  <sheetData>
    <row r="1">
      <c r="A1" t="str">
        <v>Business Case — Plataforma Web Integral CERMAT (Gestión TI, E2 · CE0113) y presupuesto del Plan de Gestión (E3)</v>
      </c>
    </row>
    <row r="2">
      <c r="A2" t="str">
        <v>Equipo: David Robert Yucra Mamani (líder), Gladys Rosaura Yana Pari, Denilson Leeke Mamani Flores, Cárdenas Vilca Rennzo · UPeU Juliaca · 2026-2 · Fecha: 2026-10-24</v>
      </c>
    </row>
    <row r="3">
      <c r="A3" t="str">
        <v/>
      </c>
    </row>
    <row r="4">
      <c r="A4" t="str">
        <v>Cómo usar: cambie solo los valores de la hoja Supuestos (columnas Pesimista, Base y Optimista). Todo lo demás son fórmulas.</v>
      </c>
    </row>
    <row r="5">
      <c r="A5" t="str">
        <v>Hojas: Supuestos (entradas y fuentes) · Proceso (tiempos AS-IS/TO-BE del E4) · Presupuesto (EDT, línea base y BAC del E3) · Flujo de caja (3 escenarios) · Indicadores (VAN, TIR, B/C, ROI, recuperación y puntos de equilibrio) · Sensibilidad (una variable a la vez) · Alternativas (costo a 3 años y matriz ponderada).</v>
      </c>
    </row>
    <row r="6">
      <c r="A6" t="str">
        <v>Funciones: NPV e IRR se muestran como VNA y TIR en Excel en español. La TIR de la vista B usa un valor inicial de −50 % para converger a la raíz negativa.</v>
      </c>
    </row>
    <row r="7">
      <c r="A7" t="str">
        <v>Vista A (decisión): flujos de CERMAT. El desarrollo ejecutado de ene a oct de 2026 es costo hundido y el cierre técnico lo aporta el equipo EPE sin desembolso de CERMAT.</v>
      </c>
    </row>
    <row r="8">
      <c r="A8" t="str">
        <v>Vista B (referencia): proyecto completo con todas las horas del equipo valorizadas a precio de mercado (S/ 25 por hora).</v>
      </c>
    </row>
    <row r="9">
      <c r="A9" t="str">
        <v>Costos reales conocidos: VPS US$ 35,99 al año; Vercel Hobby US$ 0 (solo uso personal no comercial; se presupuesta Vercel Pro); Firebase US$ 0 con el uso actual.</v>
      </c>
    </row>
    <row r="10">
      <c r="A10" t="str">
        <v>Advertencia: el piloto registró solo 8 matrículas, 2 pagos y 7 marcas de asistencia. El beneficio depende de la adopción institucional; todas las cifras estimadas son supuestos a validar con la Dirección.</v>
      </c>
    </row>
    <row r="11">
      <c r="A11" t="str">
        <v>El host on-premise del diseño CE03 (hardware por cotizar, sin presupuesto aprobado) queda fuera de este caso: sirve a todo CERMAT y la vía crítica de la plataforma está en la nube.</v>
      </c>
    </row>
    <row r="12">
      <c r="A12" t="str">
        <v>Archivo generado por perfil-egreso/scripts/generar-business-case.mjs (reproducible). Las fórmulas se verificaron con un intérprete propio contra un cálculo independiente en JavaScript.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cols>
    <col min="1" max="1" width="6.83203125" customWidth="1"/>
    <col min="2" max="2" width="58.83203125" customWidth="1"/>
    <col min="3" max="3" width="22.83203125" customWidth="1"/>
    <col min="4" max="4" width="12.83203125" customWidth="1"/>
    <col min="5" max="5" width="12.83203125" customWidth="1"/>
    <col min="6" max="6" width="12.83203125" customWidth="1"/>
    <col min="7" max="7" width="110.83203125" customWidth="1"/>
    <col min="8" max="8" width="26.83203125" customWidth="1"/>
  </cols>
  <sheetData>
    <row r="1">
      <c r="A1" t="str">
        <v>Supuestos del caso de negocio (valores editables: el resto del libro se recalcula)</v>
      </c>
    </row>
    <row r="2">
      <c r="A2" t="str">
        <v>Moneda: soles constantes de 2026, antes de impuestos. Año 0 = 2026 (inversión); años 1 a 3 = 2027 a 2029 (operación). Celdas con fórmula: se calculan en otras hojas.</v>
      </c>
    </row>
    <row r="3">
      <c r="A3" t="str">
        <v>ID</v>
      </c>
      <c r="B3" t="str">
        <v>Supuesto</v>
      </c>
      <c r="C3" t="str">
        <v>Unidad</v>
      </c>
      <c r="D3" t="str">
        <v>Pesimista</v>
      </c>
      <c r="E3" t="str">
        <v>Base</v>
      </c>
      <c r="F3" t="str">
        <v>Optimista</v>
      </c>
      <c r="G3" t="str">
        <v>Fuente o criterio</v>
      </c>
      <c r="H3" t="str">
        <v>Estado</v>
      </c>
    </row>
    <row r="4">
      <c r="A4" t="str">
        <v>Generales</v>
      </c>
    </row>
    <row r="5">
      <c r="A5" t="str">
        <v>S01</v>
      </c>
      <c r="B5" t="str">
        <v>Tasa de descuento anual</v>
      </c>
      <c r="C5" t="str">
        <v>% anual</v>
      </c>
      <c r="D5" s="1">
        <v>0.12</v>
      </c>
      <c r="E5" s="1">
        <v>0.12</v>
      </c>
      <c r="F5" s="1">
        <v>0.12</v>
      </c>
      <c r="G5" t="str">
        <v>Costo de oportunidad del capital para una institución educativa privada pequeña; se usa por encima de la tasa social de descuento del MEF (8 %) por el riesgo privado. Validar con la Dirección o su contador.</v>
      </c>
      <c r="H5" t="str">
        <v>Supuesto a validar</v>
      </c>
    </row>
    <row r="6">
      <c r="A6" t="str">
        <v>S02</v>
      </c>
      <c r="B6" t="str">
        <v>Tipo de cambio</v>
      </c>
      <c r="C6" t="str">
        <v>S/ por US$</v>
      </c>
      <c r="D6" s="2">
        <v>3.4</v>
      </c>
      <c r="E6" s="2">
        <v>3.4</v>
      </c>
      <c r="F6" s="2">
        <v>3.4</v>
      </c>
      <c r="G6" t="str">
        <v>Referencia de mercado 2026. Validar con el tipo de cambio venta de la SBS el día de aprobación (ver hoja Sensibilidad: ±10 %).</v>
      </c>
      <c r="H6" t="str">
        <v>Supuesto a validar</v>
      </c>
    </row>
    <row r="7">
      <c r="A7" t="str">
        <v>Volumen y adopción</v>
      </c>
    </row>
    <row r="8">
      <c r="A8" t="str">
        <v>S03</v>
      </c>
      <c r="B8" t="str">
        <v>Matrículas por ciclo (todas las vías)</v>
      </c>
      <c r="C8" t="str">
        <v>matrículas</v>
      </c>
      <c r="D8" s="3">
        <v>40</v>
      </c>
      <c r="E8" s="3">
        <v>60</v>
      </c>
      <c r="F8" s="3">
        <v>90</v>
      </c>
      <c r="G8" t="str">
        <v>Base: 2 grupos de 30 alumnos en la sede actual. Validar con los registros de matrícula de secretaría. El piloto registró solo 8 matrículas en la plataforma entre el 2026-01-27 y el 2026-07-07.</v>
      </c>
      <c r="H8" t="str">
        <v>Supuesto a validar</v>
      </c>
    </row>
    <row r="9">
      <c r="A9" t="str">
        <v>S04</v>
      </c>
      <c r="B9" t="str">
        <v>Ciclos por año</v>
      </c>
      <c r="C9" t="str">
        <v>ciclos</v>
      </c>
      <c r="D9" s="3">
        <v>3</v>
      </c>
      <c r="E9" s="3">
        <v>3</v>
      </c>
      <c r="F9" s="3">
        <v>3</v>
      </c>
      <c r="G9" t="str">
        <v>Calendario típico de una academia preuniversitaria (verano, ciclo I y ciclo II). Validar con la Dirección.</v>
      </c>
      <c r="H9" t="str">
        <v>Supuesto a validar</v>
      </c>
    </row>
    <row r="10">
      <c r="A10" t="str">
        <v>S05</v>
      </c>
      <c r="B10" t="str">
        <v>Adopción en el año 1 (2027)</v>
      </c>
      <c r="C10" t="str">
        <v>% de matrículas registradas en la plataforma</v>
      </c>
      <c r="D10" s="4">
        <v>0.3</v>
      </c>
      <c r="E10" s="4">
        <v>0.6</v>
      </c>
      <c r="F10" s="4">
        <v>0.8</v>
      </c>
      <c r="G10" t="str">
        <v>Depende de una disposición de la Dirección: toda matrícula se registra en línea o con el registro rápido de secretaría. Hoy la adopción real es baja (8 matrículas).</v>
      </c>
      <c r="H10" t="str">
        <v>Supuesto a validar</v>
      </c>
    </row>
    <row r="11">
      <c r="A11" t="str">
        <v>S06</v>
      </c>
      <c r="B11" t="str">
        <v>Adopción en el año 2 (2028)</v>
      </c>
      <c r="C11" t="str">
        <v>% de matrículas</v>
      </c>
      <c r="D11" s="4">
        <v>0.4</v>
      </c>
      <c r="E11" s="4">
        <v>0.8</v>
      </c>
      <c r="F11" s="4">
        <v>0.95</v>
      </c>
      <c r="G11" t="str">
        <v>Curva de adopción con capacitación y acompañamiento.</v>
      </c>
      <c r="H11" t="str">
        <v>Supuesto a validar</v>
      </c>
    </row>
    <row r="12">
      <c r="A12" t="str">
        <v>S07</v>
      </c>
      <c r="B12" t="str">
        <v>Adopción en el año 3 (2029)</v>
      </c>
      <c r="C12" t="str">
        <v>% de matrículas</v>
      </c>
      <c r="D12" s="4">
        <v>0.5</v>
      </c>
      <c r="E12" s="4">
        <v>0.9</v>
      </c>
      <c r="F12" s="4">
        <v>1</v>
      </c>
      <c r="G12" t="str">
        <v>Curva de adopción con capacitación y acompañamiento.</v>
      </c>
      <c r="H12" t="str">
        <v>Supuesto a validar</v>
      </c>
    </row>
    <row r="13">
      <c r="A13" t="str">
        <v>Costos unitarios de personal</v>
      </c>
    </row>
    <row r="14">
      <c r="A14" t="str">
        <v>S08</v>
      </c>
      <c r="B14" t="str">
        <v>Costo hora del personal administrativo y auxiliar</v>
      </c>
      <c r="C14" t="str">
        <v>S/ por hora</v>
      </c>
      <c r="D14" s="2">
        <v>10</v>
      </c>
      <c r="E14" s="2">
        <v>10</v>
      </c>
      <c r="F14" s="2">
        <v>10</v>
      </c>
      <c r="G14" t="str">
        <v>Remuneración supuesta de S/ 1 300 al mes más cargas sociales (≈ 45 %) entre 192 h al mes.</v>
      </c>
      <c r="H14" t="str">
        <v>Supuesto a validar</v>
      </c>
    </row>
    <row r="15">
      <c r="A15" t="str">
        <v>S09</v>
      </c>
      <c r="B15" t="str">
        <v>Costo hora de la Dirección</v>
      </c>
      <c r="C15" t="str">
        <v>S/ por hora</v>
      </c>
      <c r="D15" s="2">
        <v>30</v>
      </c>
      <c r="E15" s="2">
        <v>30</v>
      </c>
      <c r="F15" s="2">
        <v>30</v>
      </c>
      <c r="G15" t="str">
        <v>Remuneración directiva supuesta de S/ 4 000 al mes más cargas sociales entre 192 h al mes.</v>
      </c>
      <c r="H15" t="str">
        <v>Supuesto a validar</v>
      </c>
    </row>
    <row r="16">
      <c r="A16" t="str">
        <v>S10</v>
      </c>
      <c r="B16" t="str">
        <v>Costo hora docente</v>
      </c>
      <c r="C16" t="str">
        <v>S/ por hora</v>
      </c>
      <c r="D16" s="2">
        <v>20</v>
      </c>
      <c r="E16" s="2">
        <v>20</v>
      </c>
      <c r="F16" s="2">
        <v>20</v>
      </c>
      <c r="G16" t="str">
        <v>Tarifa horaria docente supuesta.</v>
      </c>
      <c r="H16" t="str">
        <v>Supuesto a validar</v>
      </c>
    </row>
    <row r="17">
      <c r="A17" t="str">
        <v>S11</v>
      </c>
      <c r="B17" t="str">
        <v>Costo hora técnico (desarrollo, operación y mantenimiento)</v>
      </c>
      <c r="C17" t="str">
        <v>S/ por hora</v>
      </c>
      <c r="D17" s="2">
        <v>25</v>
      </c>
      <c r="E17" s="2">
        <v>25</v>
      </c>
      <c r="F17" s="2">
        <v>25</v>
      </c>
      <c r="G17" t="str">
        <v>Desarrollador junior con S/ 3 000 al mes más cargas sociales (≈ 45 %) entre 176 h al mes.</v>
      </c>
      <c r="H17" t="str">
        <v>Supuesto a validar</v>
      </c>
    </row>
    <row r="18">
      <c r="A18" t="str">
        <v>Tiempos del proceso y ahorros operativos</v>
      </c>
    </row>
    <row r="19">
      <c r="A19" t="str">
        <v>S12</v>
      </c>
      <c r="B19" t="str">
        <v>Minutos de secretaría ahorrados por matrícula</v>
      </c>
      <c r="C19" t="str">
        <v>min</v>
      </c>
      <c r="D19" s="5">
        <v>15</v>
      </c>
      <c r="E19" s="5">
        <f>Proceso!$D$11-Proceso!$D$21</f>
        <v>25</v>
      </c>
      <c r="F19" s="5">
        <v>30</v>
      </c>
      <c r="G19" t="str">
        <v>Base calculada en la hoja Proceso (35 → 10 min). Medir con el cronometraje de 10 trámites y las marcas de tiempo del sistema (E4).</v>
      </c>
      <c r="H19" t="str">
        <v>Supuesto a validar</v>
      </c>
    </row>
    <row r="20">
      <c r="A20" t="str">
        <v>S13</v>
      </c>
      <c r="B20" t="str">
        <v>Minutos de la Dirección ahorrados por matrícula</v>
      </c>
      <c r="C20" t="str">
        <v>min</v>
      </c>
      <c r="D20" s="5">
        <v>3</v>
      </c>
      <c r="E20" s="5">
        <f>Proceso!$E$11-Proceso!$E$21</f>
        <v>4.5</v>
      </c>
      <c r="F20" s="5">
        <v>5</v>
      </c>
      <c r="G20" t="str">
        <v>Base calculada en la hoja Proceso (5 → 0,5 min).</v>
      </c>
      <c r="H20" t="str">
        <v>Supuesto a validar</v>
      </c>
    </row>
    <row r="21">
      <c r="A21" t="str">
        <v>S14</v>
      </c>
      <c r="B21" t="str">
        <v>Pagos registrados por matrícula</v>
      </c>
      <c r="C21" t="str">
        <v>pagos</v>
      </c>
      <c r="D21" s="5">
        <v>2</v>
      </c>
      <c r="E21" s="5">
        <v>2</v>
      </c>
      <c r="F21" s="5">
        <v>2</v>
      </c>
      <c r="G21" t="str">
        <v>Promedio supuesto entre pago al contado (1) y en cuotas (2 a 3).</v>
      </c>
      <c r="H21" t="str">
        <v>Supuesto a validar</v>
      </c>
    </row>
    <row r="22">
      <c r="A22" t="str">
        <v>S15</v>
      </c>
      <c r="B22" t="str">
        <v>Minutos ahorrados por pago registrado</v>
      </c>
      <c r="C22" t="str">
        <v>min</v>
      </c>
      <c r="D22" s="5">
        <v>3</v>
      </c>
      <c r="E22" s="5">
        <v>5</v>
      </c>
      <c r="F22" s="5">
        <v>6</v>
      </c>
      <c r="G22" t="str">
        <v>Registro y conciliación manual (≈ 8 min) frente a registro en el panel con conciliación automática (≈ 3 min).</v>
      </c>
      <c r="H22" t="str">
        <v>Supuesto a validar</v>
      </c>
    </row>
    <row r="23">
      <c r="A23" t="str">
        <v>S16</v>
      </c>
      <c r="B23" t="str">
        <v>Horas ahorradas al mes en el reporte de gestión</v>
      </c>
      <c r="C23" t="str">
        <v>h por mes</v>
      </c>
      <c r="D23" s="5">
        <v>1.5</v>
      </c>
      <c r="E23" s="5">
        <v>3</v>
      </c>
      <c r="F23" s="5">
        <v>4</v>
      </c>
      <c r="G23" t="str">
        <v>Consolidar cuadernos y hojas (≈ 3,5 h) frente a consultar el panel y las vistas de MySQL (≈ 0,5 h).</v>
      </c>
      <c r="H23" t="str">
        <v>Supuesto a validar</v>
      </c>
    </row>
    <row r="24">
      <c r="A24" t="str">
        <v>S17</v>
      </c>
      <c r="B24" t="str">
        <v>Minutos ahorrados por día lectivo al consolidar la asistencia</v>
      </c>
      <c r="C24" t="str">
        <v>min por día</v>
      </c>
      <c r="D24" s="5">
        <v>5</v>
      </c>
      <c r="E24" s="5">
        <v>10</v>
      </c>
      <c r="F24" s="5">
        <v>15</v>
      </c>
      <c r="G24" t="str">
        <v>Lista en cuaderno y consolidación manual frente a registro por QR.</v>
      </c>
      <c r="H24" t="str">
        <v>Supuesto a validar</v>
      </c>
    </row>
    <row r="25">
      <c r="A25" t="str">
        <v>S18</v>
      </c>
      <c r="B25" t="str">
        <v>Días lectivos por año</v>
      </c>
      <c r="C25" t="str">
        <v>días</v>
      </c>
      <c r="D25" s="3">
        <v>200</v>
      </c>
      <c r="E25" s="3">
        <v>200</v>
      </c>
      <c r="F25" s="3">
        <v>200</v>
      </c>
      <c r="G25" t="str">
        <v>Cinco días por semana durante 40 semanas.</v>
      </c>
      <c r="H25" t="str">
        <v>Supuesto a validar</v>
      </c>
    </row>
    <row r="26">
      <c r="A26" t="str">
        <v>S19</v>
      </c>
      <c r="B26" t="str">
        <v>Consultas de padres por alumno al mes</v>
      </c>
      <c r="C26" t="str">
        <v>consultas</v>
      </c>
      <c r="D26" s="5">
        <v>1</v>
      </c>
      <c r="E26" s="5">
        <v>1</v>
      </c>
      <c r="F26" s="5">
        <v>1</v>
      </c>
      <c r="G26" t="str">
        <v>Llamadas o visitas para preguntar por asistencia o pagos. Hoy hay 0 consultas registradas en la plataforma.</v>
      </c>
      <c r="H26" t="str">
        <v>Supuesto a validar</v>
      </c>
    </row>
    <row r="27">
      <c r="A27" t="str">
        <v>S20</v>
      </c>
      <c r="B27" t="str">
        <v>Minutos de personal por consulta atendida</v>
      </c>
      <c r="C27" t="str">
        <v>min</v>
      </c>
      <c r="D27" s="5">
        <v>5</v>
      </c>
      <c r="E27" s="5">
        <v>5</v>
      </c>
      <c r="F27" s="5">
        <v>5</v>
      </c>
      <c r="G27" t="str">
        <v>Atención telefónica o presencial.</v>
      </c>
      <c r="H27" t="str">
        <v>Supuesto a validar</v>
      </c>
    </row>
    <row r="28">
      <c r="A28" t="str">
        <v>S21</v>
      </c>
      <c r="B28" t="str">
        <v>Consultas resueltas con el código de padres (autoservicio)</v>
      </c>
      <c r="C28" t="str">
        <v>%</v>
      </c>
      <c r="D28" s="4">
        <v>0.25</v>
      </c>
      <c r="E28" s="4">
        <v>0.5</v>
      </c>
      <c r="F28" s="4">
        <v>0.75</v>
      </c>
      <c r="G28" t="str">
        <v>Consulta de asistencia por código CERMAT sin llamar a la academia.</v>
      </c>
      <c r="H28" t="str">
        <v>Supuesto a validar</v>
      </c>
    </row>
    <row r="29">
      <c r="A29" t="str">
        <v>S22</v>
      </c>
      <c r="B29" t="str">
        <v>Meses con clases por año</v>
      </c>
      <c r="C29" t="str">
        <v>meses</v>
      </c>
      <c r="D29" s="3">
        <v>10</v>
      </c>
      <c r="E29" s="3">
        <v>10</v>
      </c>
      <c r="F29" s="3">
        <v>10</v>
      </c>
      <c r="G29" t="str">
        <v>Calendario académico supuesto.</v>
      </c>
      <c r="H29" t="str">
        <v>Supuesto a validar</v>
      </c>
    </row>
    <row r="30">
      <c r="A30" t="str">
        <v>Ingresos protegidos y adicionales</v>
      </c>
    </row>
    <row r="31">
      <c r="A31" t="str">
        <v>S23</v>
      </c>
      <c r="B31" t="str">
        <v>Ingreso promedio por matrícula</v>
      </c>
      <c r="C31" t="str">
        <v>S/</v>
      </c>
      <c r="D31" s="6">
        <v>400</v>
      </c>
      <c r="E31" s="6">
        <v>400</v>
      </c>
      <c r="F31" s="6">
        <v>400</v>
      </c>
      <c r="G31" t="str">
        <v>Supuesto; validar con el tarifario vigente de la academia.</v>
      </c>
      <c r="H31" t="str">
        <v>Supuesto a validar</v>
      </c>
    </row>
    <row r="32">
      <c r="A32" t="str">
        <v>S24</v>
      </c>
      <c r="B32" t="str">
        <v>Margen de contribución de una matrícula adicional</v>
      </c>
      <c r="C32" t="str">
        <v>%</v>
      </c>
      <c r="D32" s="4">
        <v>0.6</v>
      </c>
      <c r="E32" s="4">
        <v>0.6</v>
      </c>
      <c r="F32" s="4">
        <v>0.6</v>
      </c>
      <c r="G32" t="str">
        <v>Docente y aula son costos fijos del grupo; el costo variable son materiales y atención.</v>
      </c>
      <c r="H32" t="str">
        <v>Supuesto a validar</v>
      </c>
    </row>
    <row r="33">
      <c r="A33" t="str">
        <v>S25</v>
      </c>
      <c r="B33" t="str">
        <v>Matrículas adicionales por ciclo captadas por el canal en línea</v>
      </c>
      <c r="C33" t="str">
        <v>matrículas</v>
      </c>
      <c r="D33" s="5">
        <v>0</v>
      </c>
      <c r="E33" s="5">
        <v>2</v>
      </c>
      <c r="F33" s="5">
        <v>4</v>
      </c>
      <c r="G33" t="str">
        <v>Pre-matrícula 24/7 desde el sitio público (desbloqueada en producción el 2026-10-24 al publicar las reglas corregidas). Medir con el origen de cada matrícula.</v>
      </c>
      <c r="H33" t="str">
        <v>Supuesto a validar</v>
      </c>
    </row>
    <row r="34">
      <c r="A34" t="str">
        <v>S26</v>
      </c>
      <c r="B34" t="str">
        <v>Alumnos retenidos por ciclo gracias a las alertas de inasistencia</v>
      </c>
      <c r="C34" t="str">
        <v>alumnos</v>
      </c>
      <c r="D34" s="5">
        <v>0</v>
      </c>
      <c r="E34" s="5">
        <v>1</v>
      </c>
      <c r="F34" s="5">
        <v>2</v>
      </c>
      <c r="G34" t="str">
        <v>Seguimiento con sp_riesgo_inasistencia y la analítica de riesgo.</v>
      </c>
      <c r="H34" t="str">
        <v>Supuesto a validar</v>
      </c>
    </row>
    <row r="35">
      <c r="A35" t="str">
        <v>S27</v>
      </c>
      <c r="B35" t="str">
        <v>Fracción del ingreso del ciclo que se conserva por alumno retenido</v>
      </c>
      <c r="C35" t="str">
        <v>%</v>
      </c>
      <c r="D35" s="4">
        <v>0.5</v>
      </c>
      <c r="E35" s="4">
        <v>0.5</v>
      </c>
      <c r="F35" s="4">
        <v>0.5</v>
      </c>
      <c r="G35" t="str">
        <v>El abandono ocurre a mitad de ciclo en promedio (supuesto).</v>
      </c>
      <c r="H35" t="str">
        <v>Supuesto a validar</v>
      </c>
    </row>
    <row r="36">
      <c r="A36" t="str">
        <v>S28</v>
      </c>
      <c r="B36" t="str">
        <v>Reducción de la morosidad</v>
      </c>
      <c r="C36" t="str">
        <v>puntos del ingreso</v>
      </c>
      <c r="D36" s="1">
        <v>0</v>
      </c>
      <c r="E36" s="1">
        <v>0.005</v>
      </c>
      <c r="F36" s="1">
        <v>0.01</v>
      </c>
      <c r="G36" t="str">
        <v>Visibilidad del saldo por cuota en el panel. Medir con el saldo vencido mensual.</v>
      </c>
      <c r="H36" t="str">
        <v>Supuesto a validar</v>
      </c>
    </row>
    <row r="37">
      <c r="A37" t="str">
        <v>Costos de operación y mantenimiento</v>
      </c>
    </row>
    <row r="38">
      <c r="A38" t="str">
        <v>S29</v>
      </c>
      <c r="B38" t="str">
        <v>Vercel Pro por miembro al mes</v>
      </c>
      <c r="C38" t="str">
        <v>US$</v>
      </c>
      <c r="D38" s="7">
        <v>20</v>
      </c>
      <c r="E38" s="7">
        <v>20</v>
      </c>
      <c r="F38" s="7">
        <v>20</v>
      </c>
      <c r="G38" t="str">
        <v>Precio de lista del plan Pro (pago por miembro). El plan Hobby actual (US$ 0) es solo para uso personal no comercial; el uso institucional corresponde al plan Pro. Validar al contratar.</v>
      </c>
      <c r="H38" t="str">
        <v>Supuesto de costo</v>
      </c>
    </row>
    <row r="39">
      <c r="A39" t="str">
        <v>S30</v>
      </c>
      <c r="B39" t="str">
        <v>Miembros del plan Pro</v>
      </c>
      <c r="C39" t="str">
        <v>miembros</v>
      </c>
      <c r="D39" s="3">
        <v>1</v>
      </c>
      <c r="E39" s="3">
        <v>1</v>
      </c>
      <c r="F39" s="3">
        <v>1</v>
      </c>
      <c r="G39" t="str">
        <v>Un responsable técnico publica los despliegues.</v>
      </c>
      <c r="H39" t="str">
        <v>Supuesto a validar</v>
      </c>
    </row>
    <row r="40">
      <c r="A40" t="str">
        <v>S31</v>
      </c>
      <c r="B40" t="str">
        <v>VPS institucional imputado a la academia</v>
      </c>
      <c r="C40" t="str">
        <v>US$ por año</v>
      </c>
      <c r="D40" s="7">
        <v>35.99</v>
      </c>
      <c r="E40" s="7">
        <v>35.99</v>
      </c>
      <c r="F40" s="7">
        <v>35.99</v>
      </c>
      <c r="G40" t="str">
        <v>Costo real del plan RackNerd vigente. Se imputa completo por prudencia: copia externa de respaldos y VPN de la capa relacional (diseño CE03) o VPS puente del mismo plan mientras no exista VM-APP01.</v>
      </c>
      <c r="H40" t="str">
        <v>Real (costo); imputación supuesta</v>
      </c>
    </row>
    <row r="41">
      <c r="A41" t="str">
        <v>S32</v>
      </c>
      <c r="B41" t="str">
        <v>Firebase</v>
      </c>
      <c r="C41" t="str">
        <v>US$ por año</v>
      </c>
      <c r="D41" s="7">
        <v>60</v>
      </c>
      <c r="E41" s="7">
        <v>0</v>
      </c>
      <c r="F41" s="7">
        <v>0</v>
      </c>
      <c r="G41" t="str">
        <v>Plan gratuito con el uso actual (real). El escenario pesimista reserva US$ 5 al mes por exceso de cuota o por pasar al plan Blaze.</v>
      </c>
      <c r="H41" t="str">
        <v>Real (US$ 0 hoy); reserva supuesta</v>
      </c>
    </row>
    <row r="42">
      <c r="A42" t="str">
        <v>S33</v>
      </c>
      <c r="B42" t="str">
        <v>Operación: monitoreo, respaldos y usuarios</v>
      </c>
      <c r="C42" t="str">
        <v>h por mes</v>
      </c>
      <c r="D42" s="5">
        <v>3</v>
      </c>
      <c r="E42" s="5">
        <v>2</v>
      </c>
      <c r="F42" s="5">
        <v>1.5</v>
      </c>
      <c r="G42" t="str">
        <v>Rutina diaria, semanal y mensual de operación (E5).</v>
      </c>
      <c r="H42" t="str">
        <v>Supuesto a validar</v>
      </c>
    </row>
    <row r="43">
      <c r="A43" t="str">
        <v>S34</v>
      </c>
      <c r="B43" t="str">
        <v>Mantenimiento correctivo y evolutivo</v>
      </c>
      <c r="C43" t="str">
        <v>h por mes</v>
      </c>
      <c r="D43" s="5">
        <v>5</v>
      </c>
      <c r="E43" s="5">
        <v>3</v>
      </c>
      <c r="F43" s="5">
        <v>2</v>
      </c>
      <c r="G43" t="str">
        <v>Actualización de dependencias y correcciones; el CI con 90 pruebas reduce el esfuerzo de verificación.</v>
      </c>
      <c r="H43" t="str">
        <v>Supuesto a validar</v>
      </c>
    </row>
    <row r="44">
      <c r="A44" t="str">
        <v>Inversión del proyecto (horas tomadas de la hoja Presupuesto)</v>
      </c>
    </row>
    <row r="45">
      <c r="A45" t="str">
        <v>S35</v>
      </c>
      <c r="B45" t="str">
        <v>Horas del Product Owner (Dirección)</v>
      </c>
      <c r="C45" t="str">
        <v>h</v>
      </c>
      <c r="D45" s="5">
        <f>Presupuesto!$F$35</f>
        <v>12</v>
      </c>
      <c r="E45" s="5">
        <f>Presupuesto!$F$35</f>
        <v>12</v>
      </c>
      <c r="F45" s="5">
        <f>Presupuesto!$F$35</f>
        <v>12</v>
      </c>
      <c r="G45" t="str">
        <v>Hoja Presupuesto, fila C.1.</v>
      </c>
      <c r="H45" t="str">
        <v>Supuesto a validar</v>
      </c>
    </row>
    <row r="46">
      <c r="A46" t="str">
        <v>S36</v>
      </c>
      <c r="B46" t="str">
        <v>Horas de la Dirección en revisiones de sprint</v>
      </c>
      <c r="C46" t="str">
        <v>h</v>
      </c>
      <c r="D46" s="5">
        <f>Presupuesto!$F$36</f>
        <v>3</v>
      </c>
      <c r="E46" s="5">
        <f>Presupuesto!$F$36</f>
        <v>3</v>
      </c>
      <c r="F46" s="5">
        <f>Presupuesto!$F$36</f>
        <v>3</v>
      </c>
      <c r="G46" t="str">
        <v>Hoja Presupuesto, fila C.2.</v>
      </c>
      <c r="H46" t="str">
        <v>Supuesto a validar</v>
      </c>
    </row>
    <row r="47">
      <c r="A47" t="str">
        <v>S37</v>
      </c>
      <c r="B47" t="str">
        <v>Horas de capacitación del personal administrativo y auxiliar</v>
      </c>
      <c r="C47" t="str">
        <v>h</v>
      </c>
      <c r="D47" s="5">
        <f>Presupuesto!$F$37</f>
        <v>9</v>
      </c>
      <c r="E47" s="5">
        <f>Presupuesto!$F$37</f>
        <v>9</v>
      </c>
      <c r="F47" s="5">
        <f>Presupuesto!$F$37</f>
        <v>9</v>
      </c>
      <c r="G47" t="str">
        <v>Hoja Presupuesto, fila C.3.</v>
      </c>
      <c r="H47" t="str">
        <v>Supuesto a validar</v>
      </c>
    </row>
    <row r="48">
      <c r="A48" t="str">
        <v>S38</v>
      </c>
      <c r="B48" t="str">
        <v>Horas de capacitación docente</v>
      </c>
      <c r="C48" t="str">
        <v>h</v>
      </c>
      <c r="D48" s="5">
        <f>Presupuesto!$F$38</f>
        <v>6</v>
      </c>
      <c r="E48" s="5">
        <f>Presupuesto!$F$38</f>
        <v>6</v>
      </c>
      <c r="F48" s="5">
        <f>Presupuesto!$F$38</f>
        <v>6</v>
      </c>
      <c r="G48" t="str">
        <v>Hoja Presupuesto, fila C.4.</v>
      </c>
      <c r="H48" t="str">
        <v>Supuesto a validar</v>
      </c>
    </row>
    <row r="49">
      <c r="A49" t="str">
        <v>S39</v>
      </c>
      <c r="B49" t="str">
        <v>Horas de transferencia de conocimiento al responsable técnico de CERMAT</v>
      </c>
      <c r="C49" t="str">
        <v>h</v>
      </c>
      <c r="D49" s="5">
        <f>Presupuesto!$F$39</f>
        <v>16</v>
      </c>
      <c r="E49" s="5">
        <f>Presupuesto!$F$39</f>
        <v>16</v>
      </c>
      <c r="F49" s="5">
        <f>Presupuesto!$F$39</f>
        <v>16</v>
      </c>
      <c r="G49" t="str">
        <v>Hoja Presupuesto, fila C.5.</v>
      </c>
      <c r="H49" t="str">
        <v>Supuesto a validar</v>
      </c>
    </row>
    <row r="50">
      <c r="A50" t="str">
        <v>S40</v>
      </c>
      <c r="B50" t="str">
        <v>Reserva de contingencia sobre el trabajo planificado</v>
      </c>
      <c r="C50" t="str">
        <v>%</v>
      </c>
      <c r="D50" s="4">
        <v>0.2</v>
      </c>
      <c r="E50" s="4">
        <v>0.1</v>
      </c>
      <c r="F50" s="4">
        <v>0.1</v>
      </c>
      <c r="G50" t="str">
        <v>Práctica habitual de 10 % para trabajo con alcance conocido; 20 % en el escenario pesimista.</v>
      </c>
      <c r="H50" t="str">
        <v>Supuesto a validar</v>
      </c>
    </row>
    <row r="51">
      <c r="A51" t="str">
        <v>S41</v>
      </c>
      <c r="B51" t="str">
        <v>Horas del equipo ya ejecutadas (ene a oct de 2026)</v>
      </c>
      <c r="C51" t="str">
        <v>h</v>
      </c>
      <c r="D51" s="3">
        <f>Presupuesto!$F$41</f>
        <v>640</v>
      </c>
      <c r="E51" s="3">
        <f>Presupuesto!$F$41</f>
        <v>640</v>
      </c>
      <c r="F51" s="3">
        <f>Presupuesto!$F$41</f>
        <v>640</v>
      </c>
      <c r="G51" t="str">
        <v>Hoja Presupuesto. Estimación por analogía: no hay registro de horas (brecha de estimación del E4 de Software).</v>
      </c>
      <c r="H51" t="str">
        <v>Supuesto a validar</v>
      </c>
    </row>
    <row r="52">
      <c r="A52" t="str">
        <v>S42</v>
      </c>
      <c r="B52" t="str">
        <v>Horas del equipo planificadas (oct de 2026 a abr de 2027)</v>
      </c>
      <c r="C52" t="str">
        <v>h</v>
      </c>
      <c r="D52" s="3">
        <f>Presupuesto!$F$42</f>
        <v>152</v>
      </c>
      <c r="E52" s="3">
        <f>Presupuesto!$F$42</f>
        <v>152</v>
      </c>
      <c r="F52" s="3">
        <f>Presupuesto!$F$42</f>
        <v>152</v>
      </c>
      <c r="G52" t="str">
        <v>Hoja Presupuesto.</v>
      </c>
      <c r="H52" t="str">
        <v>Supuesto a validar</v>
      </c>
    </row>
    <row r="53">
      <c r="A53" t="str">
        <v>Alternativas (hoja Alternativas)</v>
      </c>
    </row>
    <row r="54">
      <c r="A54" t="str">
        <v>S43</v>
      </c>
      <c r="B54" t="str">
        <v>Suscripción SaaS por alumno activo al mes</v>
      </c>
      <c r="C54" t="str">
        <v>US$</v>
      </c>
      <c r="D54" s="7">
        <v>2</v>
      </c>
      <c r="E54" s="7">
        <v>2</v>
      </c>
      <c r="F54" s="7">
        <v>2</v>
      </c>
      <c r="G54" t="str">
        <v>Valor de referencia del equipo, sin cotización. Pedir al menos dos cotizaciones.</v>
      </c>
      <c r="H54" t="str">
        <v>Supuesto a validar</v>
      </c>
    </row>
    <row r="55">
      <c r="A55" t="str">
        <v>S44</v>
      </c>
      <c r="B55" t="str">
        <v>Horas de configuración y migración al SaaS</v>
      </c>
      <c r="C55" t="str">
        <v>h</v>
      </c>
      <c r="D55" s="3">
        <v>20</v>
      </c>
      <c r="E55" s="3">
        <v>20</v>
      </c>
      <c r="F55" s="3">
        <v>20</v>
      </c>
      <c r="G55" t="str">
        <v>Carga de oferta, alumnos y usuarios.</v>
      </c>
      <c r="H55" t="str">
        <v>Supuesto a validar</v>
      </c>
    </row>
    <row r="56">
      <c r="A56" t="str">
        <v>S45</v>
      </c>
      <c r="B56" t="str">
        <v>Horas para configurar formularios y hojas compartidas</v>
      </c>
      <c r="C56" t="str">
        <v>h</v>
      </c>
      <c r="D56" s="3">
        <v>20</v>
      </c>
      <c r="E56" s="3">
        <v>20</v>
      </c>
      <c r="F56" s="3">
        <v>20</v>
      </c>
      <c r="G56" t="str">
        <v>Formularios, hoja de cupos y permisos.</v>
      </c>
      <c r="H56" t="str">
        <v>Supuesto a validar</v>
      </c>
    </row>
    <row r="57">
      <c r="A57" t="str">
        <v>S46</v>
      </c>
      <c r="B57" t="str">
        <v>Mantenimiento de formularios y hojas</v>
      </c>
      <c r="C57" t="str">
        <v>h por mes</v>
      </c>
      <c r="D57" s="5">
        <v>1</v>
      </c>
      <c r="E57" s="5">
        <v>1</v>
      </c>
      <c r="F57" s="5">
        <v>1</v>
      </c>
      <c r="G57" t="str">
        <v>Ajustes por ciclo.</v>
      </c>
      <c r="H57" t="str">
        <v>Supuesto a validar</v>
      </c>
    </row>
    <row r="58">
      <c r="A58" t="str">
        <v>S47</v>
      </c>
      <c r="B58" t="str">
        <v>Horas para extender el sistema del colegio a la academia</v>
      </c>
      <c r="C58" t="str">
        <v>h</v>
      </c>
      <c r="D58" s="3">
        <v>400</v>
      </c>
      <c r="E58" s="3">
        <v>400</v>
      </c>
      <c r="F58" s="3">
        <v>400</v>
      </c>
      <c r="G58" t="str">
        <v>Rehacer en Laravel y Angular la oferta, matrícula, pagos, asistencia QR y portales (estimación del equipo).</v>
      </c>
      <c r="H58" t="str">
        <v>Supuesto a validar</v>
      </c>
    </row>
    <row r="59">
      <c r="A59" t="str">
        <v>S48</v>
      </c>
      <c r="B59" t="str">
        <v>Mantenimiento del sistema extendido</v>
      </c>
      <c r="C59" t="str">
        <v>h por mes</v>
      </c>
      <c r="D59" s="5">
        <v>3</v>
      </c>
      <c r="E59" s="5">
        <v>3</v>
      </c>
      <c r="F59" s="5">
        <v>3</v>
      </c>
      <c r="G59" t="str">
        <v>Igual esfuerzo que la plataforma propia.</v>
      </c>
      <c r="H59" t="str">
        <v>Supuesto a validar</v>
      </c>
    </row>
  </sheetData>
  <ignoredErrors>
    <ignoredError numberStoredAsText="1" sqref="A1:H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70.83203125" customWidth="1"/>
    <col min="2" max="2" width="78.83203125" customWidth="1"/>
    <col min="3" max="3" width="2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Proceso de matrícula: tiempo y costo de personal por matrícula (AS-IS frente a TO-BE). Minutos = supuestos a validar con 10 trámites cronometrados.</v>
      </c>
    </row>
    <row r="3">
      <c r="A3" t="str">
        <v>ID</v>
      </c>
      <c r="B3" t="str">
        <v>Actividad AS-IS</v>
      </c>
      <c r="C3" t="str">
        <v>Rol</v>
      </c>
      <c r="D3" t="str">
        <v>Min secretaría</v>
      </c>
      <c r="E3" t="str">
        <v>Min Dirección</v>
      </c>
      <c r="F3" t="str">
        <v>Costo (S/)</v>
      </c>
    </row>
    <row r="4">
      <c r="A4" t="str">
        <v>A1</v>
      </c>
      <c r="B4" t="str">
        <v>Atender la consulta e informar oferta, horarios y precios</v>
      </c>
      <c r="C4" t="str">
        <v>Secretaría</v>
      </c>
      <c r="D4" s="5">
        <v>10</v>
      </c>
      <c r="E4" s="5">
        <v>0</v>
      </c>
      <c r="F4" s="8">
        <f>D4/60*Supuestos!$E$14+E4/60*Supuestos!$E$15</f>
        <v>1.6666666666666665</v>
      </c>
    </row>
    <row r="5">
      <c r="A5" t="str">
        <v>A2</v>
      </c>
      <c r="B5" t="str">
        <v>Registrar los datos del postulante en cuaderno u hoja de cálculo</v>
      </c>
      <c r="C5" t="str">
        <v>Secretaría</v>
      </c>
      <c r="D5" s="5">
        <v>6</v>
      </c>
      <c r="E5" s="5">
        <v>0</v>
      </c>
      <c r="F5" s="8">
        <f>D5/60*Supuestos!$E$14+E5/60*Supuestos!$E$15</f>
        <v>1</v>
      </c>
    </row>
    <row r="6">
      <c r="A6" t="str">
        <v>A3</v>
      </c>
      <c r="B6" t="str">
        <v>Verificar el cupo en la lista del grupo (otro registro)</v>
      </c>
      <c r="C6" t="str">
        <v>Secretaría</v>
      </c>
      <c r="D6" s="5">
        <v>4</v>
      </c>
      <c r="E6" s="5">
        <v>0</v>
      </c>
      <c r="F6" s="8">
        <f>D6/60*Supuestos!$E$14+E6/60*Supuestos!$E$15</f>
        <v>0.6666666666666666</v>
      </c>
    </row>
    <row r="7">
      <c r="A7" t="str">
        <v>A4</v>
      </c>
      <c r="B7" t="str">
        <v>Revisar y autorizar la matrícula en persona</v>
      </c>
      <c r="C7" t="str">
        <v>Dirección</v>
      </c>
      <c r="D7" s="5">
        <v>0</v>
      </c>
      <c r="E7" s="5">
        <v>5</v>
      </c>
      <c r="F7" s="8">
        <f>D7/60*Supuestos!$E$14+E7/60*Supuestos!$E$15</f>
        <v>2.5</v>
      </c>
    </row>
    <row r="8">
      <c r="A8" t="str">
        <v>A5</v>
      </c>
      <c r="B8" t="str">
        <v>Cobrar, emitir el recibo físico y anotar en caja</v>
      </c>
      <c r="C8" t="str">
        <v>Secretaría</v>
      </c>
      <c r="D8" s="5">
        <v>6</v>
      </c>
      <c r="E8" s="5">
        <v>0</v>
      </c>
      <c r="F8" s="8">
        <f>D8/60*Supuestos!$E$14+E8/60*Supuestos!$E$15</f>
        <v>1</v>
      </c>
    </row>
    <row r="9">
      <c r="A9" t="str">
        <v>A6</v>
      </c>
      <c r="B9" t="str">
        <v>Conciliar el pago con el registro de matrícula</v>
      </c>
      <c r="C9" t="str">
        <v>Secretaría</v>
      </c>
      <c r="D9" s="5">
        <v>3</v>
      </c>
      <c r="E9" s="5">
        <v>0</v>
      </c>
      <c r="F9" s="8">
        <f>D9/60*Supuestos!$E$14+E9/60*Supuestos!$E$15</f>
        <v>0.5</v>
      </c>
    </row>
    <row r="10">
      <c r="A10" t="str">
        <v>A7</v>
      </c>
      <c r="B10" t="str">
        <v>Confirmar al padre y agregar al alumno a la lista del grupo</v>
      </c>
      <c r="C10" t="str">
        <v>Secretaría</v>
      </c>
      <c r="D10" s="5">
        <v>6</v>
      </c>
      <c r="E10" s="5">
        <v>0</v>
      </c>
      <c r="F10" s="8">
        <f>D10/60*Supuestos!$E$14+E10/60*Supuestos!$E$15</f>
        <v>1</v>
      </c>
    </row>
    <row r="11">
      <c r="B11" t="str">
        <v>Total AS-IS por matrícula</v>
      </c>
      <c r="D11" s="5">
        <f>SUM(D4:D10)</f>
        <v>35</v>
      </c>
      <c r="E11" s="5">
        <f>SUM(E4:E10)</f>
        <v>5</v>
      </c>
      <c r="F11" s="8">
        <f>SUM(F4:F10)</f>
        <v>8.333333333333332</v>
      </c>
    </row>
    <row r="13">
      <c r="A13" t="str">
        <v>ID</v>
      </c>
      <c r="B13" t="str">
        <v>Actividad TO-BE</v>
      </c>
      <c r="C13" t="str">
        <v>Rol</v>
      </c>
      <c r="D13" t="str">
        <v>Min secretaría</v>
      </c>
      <c r="E13" t="str">
        <v>Min Dirección</v>
      </c>
      <c r="F13" t="str">
        <v>Costo (S/)</v>
      </c>
    </row>
    <row r="14">
      <c r="A14" t="str">
        <v>T1</v>
      </c>
      <c r="B14" t="str">
        <v>Registrar la pre-matrícula en línea (autoservicio) o con el registro rápido de secretaría (promedio)</v>
      </c>
      <c r="C14" t="str">
        <v>Postulante / Secretaría</v>
      </c>
      <c r="D14" s="5">
        <v>4</v>
      </c>
      <c r="E14" s="5">
        <v>0</v>
      </c>
      <c r="F14" s="8">
        <f>D14/60*Supuestos!$E$14+E14/60*Supuestos!$E$15</f>
        <v>0.6666666666666666</v>
      </c>
    </row>
    <row r="15">
      <c r="A15" t="str">
        <v>T2</v>
      </c>
      <c r="B15" t="str">
        <v>Validar ciclo abierto, cupo y duplicado en una transacción</v>
      </c>
      <c r="C15" t="str">
        <v>Sistema</v>
      </c>
      <c r="D15" s="5">
        <v>0</v>
      </c>
      <c r="E15" s="5">
        <v>0</v>
      </c>
      <c r="F15" s="8">
        <f>D15/60*Supuestos!$E$14+E15/60*Supuestos!$E$15</f>
        <v>0</v>
      </c>
    </row>
    <row r="16">
      <c r="A16" t="str">
        <v>T3</v>
      </c>
      <c r="B16" t="str">
        <v>Revisar la pre-matrícula y registrar el pago en el panel</v>
      </c>
      <c r="C16" t="str">
        <v>Secretaría</v>
      </c>
      <c r="D16" s="5">
        <v>4</v>
      </c>
      <c r="E16" s="5">
        <v>0</v>
      </c>
      <c r="F16" s="8">
        <f>D16/60*Supuestos!$E$14+E16/60*Supuestos!$E$15</f>
        <v>0.6666666666666666</v>
      </c>
    </row>
    <row r="17">
      <c r="A17" t="str">
        <v>T4</v>
      </c>
      <c r="B17" t="str">
        <v>Aprobar: el sistema genera la invitación (7 días) y el código de padres</v>
      </c>
      <c r="C17" t="str">
        <v>Secretaría</v>
      </c>
      <c r="D17" s="5">
        <v>1</v>
      </c>
      <c r="E17" s="5">
        <v>0</v>
      </c>
      <c r="F17" s="8">
        <f>D17/60*Supuestos!$E$14+E17/60*Supuestos!$E$15</f>
        <v>0.16666666666666666</v>
      </c>
    </row>
    <row r="18">
      <c r="A18" t="str">
        <v>T5</v>
      </c>
      <c r="B18" t="str">
        <v>Enviar el enlace de activación al alumno o al padre</v>
      </c>
      <c r="C18" t="str">
        <v>Secretaría</v>
      </c>
      <c r="D18" s="5">
        <v>1</v>
      </c>
      <c r="E18" s="5">
        <v>0</v>
      </c>
      <c r="F18" s="8">
        <f>D18/60*Supuestos!$E$14+E18/60*Supuestos!$E$15</f>
        <v>0.16666666666666666</v>
      </c>
    </row>
    <row r="19">
      <c r="A19" t="str">
        <v>T6</v>
      </c>
      <c r="B19" t="str">
        <v>Sincronizar con MySQL y conciliar (vista v_conciliacion_pagos)</v>
      </c>
      <c r="C19" t="str">
        <v>Sistema</v>
      </c>
      <c r="D19" s="5">
        <v>0</v>
      </c>
      <c r="E19" s="5">
        <v>0</v>
      </c>
      <c r="F19" s="8">
        <f>D19/60*Supuestos!$E$14+E19/60*Supuestos!$E$15</f>
        <v>0</v>
      </c>
    </row>
    <row r="20">
      <c r="A20" t="str">
        <v>T7</v>
      </c>
      <c r="B20" t="str">
        <v>Revisar los indicadores de matrícula en el panel (prorrateo por matrícula)</v>
      </c>
      <c r="C20" t="str">
        <v>Dirección</v>
      </c>
      <c r="D20" s="5">
        <v>0</v>
      </c>
      <c r="E20" s="5">
        <v>0.5</v>
      </c>
      <c r="F20" s="8">
        <f>D20/60*Supuestos!$E$14+E20/60*Supuestos!$E$15</f>
        <v>0.25</v>
      </c>
    </row>
    <row r="21">
      <c r="B21" t="str">
        <v>Total TO-BE por matrícula</v>
      </c>
      <c r="D21" s="5">
        <f>SUM(D14:D20)</f>
        <v>10</v>
      </c>
      <c r="E21" s="5">
        <f>SUM(E14:E20)</f>
        <v>0.5</v>
      </c>
      <c r="F21" s="8">
        <f>SUM(F14:F20)</f>
        <v>1.9166666666666667</v>
      </c>
    </row>
    <row r="23">
      <c r="A23" t="str">
        <v>Resumen (escenario base)</v>
      </c>
    </row>
    <row r="24">
      <c r="A24" t="str">
        <v>Minutos de personal por matrícula AS-IS</v>
      </c>
      <c r="F24" s="5">
        <f>D11+E11</f>
        <v>40</v>
      </c>
    </row>
    <row r="25">
      <c r="A25" t="str">
        <v>Minutos de personal por matrícula TO-BE</v>
      </c>
      <c r="F25" s="5">
        <f>D21+E21</f>
        <v>10.5</v>
      </c>
    </row>
    <row r="26">
      <c r="A26" t="str">
        <v>Reducción del tiempo de personal</v>
      </c>
      <c r="F26" s="1">
        <f>1-F25/F24</f>
        <v>0.7375</v>
      </c>
    </row>
    <row r="27">
      <c r="A27" t="str">
        <v>Costo de personal por matrícula AS-IS</v>
      </c>
      <c r="F27" s="8">
        <f>F11</f>
        <v>8.333333333333332</v>
      </c>
    </row>
    <row r="28">
      <c r="A28" t="str">
        <v>Costo de personal por matrícula TO-BE</v>
      </c>
      <c r="F28" s="8">
        <f>F21</f>
        <v>1.9166666666666667</v>
      </c>
    </row>
    <row r="29">
      <c r="A29" t="str">
        <v>Reducción del costo de personal por matrícula</v>
      </c>
      <c r="F29" s="1">
        <f>1-F28/F27</f>
        <v>0.77</v>
      </c>
    </row>
    <row r="30">
      <c r="A30" t="str">
        <v>Matrículas en la plataforma en el año 3 (base)</v>
      </c>
      <c r="F30" s="5">
        <f>Supuestos!$E$8*Supuestos!$E$9*Supuestos!$E$12</f>
        <v>162</v>
      </c>
    </row>
    <row r="31">
      <c r="A31" t="str">
        <v>Costo anual de personal del proceso AS-IS para esas matrículas</v>
      </c>
      <c r="F31" s="6">
        <f>F30*F27</f>
        <v>1349.9999999999998</v>
      </c>
    </row>
    <row r="32">
      <c r="A32" t="str">
        <v>Costo anual de personal del proceso TO-BE para esas matrículas</v>
      </c>
      <c r="F32" s="6">
        <f>F30*F28</f>
        <v>310.5</v>
      </c>
    </row>
    <row r="33">
      <c r="A33" t="str">
        <v>Participación del ahorro de matrícula en el beneficio total (base, adopción 100 %)</v>
      </c>
      <c r="F33" s="1">
        <f>(Supuestos!$E$9*Supuestos!$E$8*(Supuestos!$E$19/60*Supuestos!$E$14+Supuestos!$E$20/60*Supuestos!$E$15))/((Supuestos!$E$9*Supuestos!$E$8*(Supuestos!$E$19/60*Supuestos!$E$14+Supuestos!$E$20/60*Supuestos!$E$15))+(Supuestos!$E$9*Supuestos!$E$8*Supuestos!$E$21*Supuestos!$E$22/60*Supuestos!$E$14+Supuestos!$E$23*12*Supuestos!$E$14)+(Supuestos!$E$24/60*Supuestos!$E$25*Supuestos!$E$14+Supuestos!$E$8*Supuestos!$E$26*Supuestos!$E$29*Supuestos!$E$27/60*Supuestos!$E$28*Supuestos!$E$14)+(Supuestos!$E$9*Supuestos!$E$31*Supuestos!$E$32*(Supuestos!$E$33+Supuestos!$E$34*Supuestos!$E$35))+(Supuestos!$E$8*Supuestos!$E$9*Supuestos!$E$31*Supuestos!$E$36))</f>
        <v>0.253382084095064</v>
      </c>
    </row>
    <row r="34">
      <c r="A34" t="str">
        <v>Costo de plataforma imputado por matrícula (año 3, base)</v>
      </c>
      <c r="F34" s="8">
        <f>'Flujo de caja'!E58*F33/F30</f>
        <v>3.8138164127564496</v>
      </c>
    </row>
    <row r="35">
      <c r="A35" t="str">
        <v>Costo total por matrícula TO-BE (personal + plataforma imputada)</v>
      </c>
      <c r="F35" s="8">
        <f>F28+F34</f>
        <v>5.7304830794231165</v>
      </c>
    </row>
    <row r="36">
      <c r="A36" t="str">
        <v>Reducción del costo total por matrícula frente al AS-IS</v>
      </c>
      <c r="F36" s="1">
        <f>1-F35/F27</f>
        <v>0.31234203046922593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cols>
    <col min="1" max="1" width="7.83203125" customWidth="1"/>
    <col min="2" max="2" width="72.83203125" customWidth="1"/>
    <col min="3" max="3" width="12.83203125" customWidth="1"/>
    <col min="4" max="4" width="12.83203125" customWidth="1"/>
    <col min="5" max="5" width="10.83203125" customWidth="1"/>
    <col min="6" max="6" width="8.83203125" customWidth="1"/>
    <col min="7" max="7" width="12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12.83203125" customWidth="1"/>
  </cols>
  <sheetData>
    <row r="1">
      <c r="A1" t="str">
        <v>Presupuesto del proyecto y línea base de costos (E3). Horas reales estimadas por analogía; horas planificadas = estimación por paquete (supuestos).</v>
      </c>
    </row>
    <row r="2">
      <c r="A2" t="str">
        <v>Tarifas tomadas de la hoja Supuestos (escenario base). La reserva de contingencia se aplica solo al trabajo planificado.</v>
      </c>
    </row>
    <row r="4">
      <c r="A4" t="str">
        <v>Código</v>
      </c>
      <c r="B4" t="str">
        <v>Paquete de trabajo (EDT)</v>
      </c>
      <c r="C4" t="str">
        <v>Estado</v>
      </c>
      <c r="D4" t="str">
        <v>Financia</v>
      </c>
      <c r="E4" t="str">
        <v>Tarifa (S/ por h)</v>
      </c>
      <c r="F4" t="str">
        <v>Horas</v>
      </c>
      <c r="G4" t="str">
        <v>Ejecutado ene–oct 2026 (h)</v>
      </c>
      <c r="H4" t="str">
        <v>oct-26 (h)</v>
      </c>
      <c r="I4" t="str">
        <v>nov-26 (h)</v>
      </c>
      <c r="J4" t="str">
        <v>dic-26 (h)</v>
      </c>
      <c r="K4" t="str">
        <v>ene-27 (h)</v>
      </c>
      <c r="L4" t="str">
        <v>feb-27 (h)</v>
      </c>
      <c r="M4" t="str">
        <v>mar-27 (h)</v>
      </c>
      <c r="N4" t="str">
        <v>abr-27 (h)</v>
      </c>
      <c r="O4" t="str">
        <v>Costo (S/)</v>
      </c>
    </row>
    <row r="5">
      <c r="A5" t="str">
        <v>1.1</v>
      </c>
      <c r="B5" t="str">
        <v>Inicio y acta de constitución</v>
      </c>
      <c r="C5" t="str">
        <v>Real</v>
      </c>
      <c r="D5" t="str">
        <v>Equipo EPE</v>
      </c>
      <c r="E5" s="2">
        <f>Supuestos!$E$17</f>
        <v>25</v>
      </c>
      <c r="F5" s="3">
        <f>SUM(G5:N5)</f>
        <v>4</v>
      </c>
      <c r="G5" s="3">
        <v>4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6">
        <f>F5*E5</f>
        <v>100</v>
      </c>
    </row>
    <row r="6">
      <c r="A6" t="str">
        <v>1.2</v>
      </c>
      <c r="B6" t="str">
        <v>Planificación: plan de gestión, presupuesto y backlog</v>
      </c>
      <c r="C6" t="str">
        <v>Real</v>
      </c>
      <c r="D6" t="str">
        <v>Equipo EPE</v>
      </c>
      <c r="E6" s="2">
        <f>Supuestos!$E$17</f>
        <v>25</v>
      </c>
      <c r="F6" s="3">
        <f>SUM(G6:N6)</f>
        <v>12</v>
      </c>
      <c r="G6" s="3">
        <v>12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6">
        <f>F6*E6</f>
        <v>300</v>
      </c>
    </row>
    <row r="7">
      <c r="A7" t="str">
        <v>1.3</v>
      </c>
      <c r="B7" t="str">
        <v>Seguimiento y control: sprints, riesgos y valor ganado</v>
      </c>
      <c r="C7" t="str">
        <v>Planificado</v>
      </c>
      <c r="D7" t="str">
        <v>Equipo EPE</v>
      </c>
      <c r="E7" s="2">
        <f>Supuestos!$E$17</f>
        <v>25</v>
      </c>
      <c r="F7" s="3">
        <f>SUM(G7:N7)</f>
        <v>20</v>
      </c>
      <c r="G7" s="3">
        <v>0</v>
      </c>
      <c r="H7" s="3">
        <v>1</v>
      </c>
      <c r="I7" s="3">
        <v>8</v>
      </c>
      <c r="J7" s="3">
        <v>5</v>
      </c>
      <c r="K7" s="3">
        <v>3</v>
      </c>
      <c r="L7" s="3">
        <v>1</v>
      </c>
      <c r="M7" s="3">
        <v>2</v>
      </c>
      <c r="N7" s="3">
        <v>0</v>
      </c>
      <c r="O7" s="6">
        <f>F7*E7</f>
        <v>500</v>
      </c>
    </row>
    <row r="8">
      <c r="A8" t="str">
        <v>1.4</v>
      </c>
      <c r="B8" t="str">
        <v>Cierre: lecciones aprendidas y acta de cierre</v>
      </c>
      <c r="C8" t="str">
        <v>Planificado</v>
      </c>
      <c r="D8" t="str">
        <v>Equipo EPE</v>
      </c>
      <c r="E8" s="2">
        <f>Supuestos!$E$17</f>
        <v>25</v>
      </c>
      <c r="F8" s="3">
        <f>SUM(G8:N8)</f>
        <v>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4</v>
      </c>
      <c r="O8" s="6">
        <f>F8*E8</f>
        <v>100</v>
      </c>
    </row>
    <row r="9">
      <c r="A9" t="str">
        <v>2</v>
      </c>
      <c r="B9" t="str">
        <v>Diagnóstico y diseño de gestión TI (E1 a E5)</v>
      </c>
      <c r="C9" t="str">
        <v>Real</v>
      </c>
      <c r="D9" t="str">
        <v>Equipo EPE</v>
      </c>
      <c r="E9" s="2">
        <f>Supuestos!$E$17</f>
        <v>25</v>
      </c>
      <c r="F9" s="3">
        <f>SUM(G9:N9)</f>
        <v>56</v>
      </c>
      <c r="G9" s="3">
        <v>56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6">
        <f>F9*E9</f>
        <v>1400</v>
      </c>
    </row>
    <row r="10">
      <c r="A10" t="str">
        <v>3.1</v>
      </c>
      <c r="B10" t="str">
        <v>Sitio público y oferta académica</v>
      </c>
      <c r="C10" t="str">
        <v>Real</v>
      </c>
      <c r="D10" t="str">
        <v>Equipo EPE</v>
      </c>
      <c r="E10" s="2">
        <f>Supuestos!$E$17</f>
        <v>25</v>
      </c>
      <c r="F10" s="3">
        <f>SUM(G10:N10)</f>
        <v>80</v>
      </c>
      <c r="G10" s="3">
        <v>80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6">
        <f>F10*E10</f>
        <v>2000</v>
      </c>
    </row>
    <row r="11">
      <c r="A11" t="str">
        <v>3.2</v>
      </c>
      <c r="B11" t="str">
        <v>Matrícula, pagos y activación</v>
      </c>
      <c r="C11" t="str">
        <v>Real</v>
      </c>
      <c r="D11" t="str">
        <v>Equipo EPE</v>
      </c>
      <c r="E11" s="2">
        <f>Supuestos!$E$17</f>
        <v>25</v>
      </c>
      <c r="F11" s="3">
        <f>SUM(G11:N11)</f>
        <v>140</v>
      </c>
      <c r="G11" s="3">
        <v>140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6">
        <f>F11*E11</f>
        <v>3500</v>
      </c>
    </row>
    <row r="12">
      <c r="A12" t="str">
        <v>3.3</v>
      </c>
      <c r="B12" t="str">
        <v>Asistencia QR y consulta de padres</v>
      </c>
      <c r="C12" t="str">
        <v>Real</v>
      </c>
      <c r="D12" t="str">
        <v>Equipo EPE</v>
      </c>
      <c r="E12" s="2">
        <f>Supuestos!$E$17</f>
        <v>25</v>
      </c>
      <c r="F12" s="3">
        <f>SUM(G12:N12)</f>
        <v>90</v>
      </c>
      <c r="G12" s="3">
        <v>90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6">
        <f>F12*E12</f>
        <v>2250</v>
      </c>
    </row>
    <row r="13">
      <c r="A13" t="str">
        <v>3.4</v>
      </c>
      <c r="B13" t="str">
        <v>Portales por rol (admin, docente, alumno, auxiliar)</v>
      </c>
      <c r="C13" t="str">
        <v>Real</v>
      </c>
      <c r="D13" t="str">
        <v>Equipo EPE</v>
      </c>
      <c r="E13" s="2">
        <f>Supuestos!$E$17</f>
        <v>25</v>
      </c>
      <c r="F13" s="3">
        <f>SUM(G13:N13)</f>
        <v>110</v>
      </c>
      <c r="G13" s="3">
        <v>110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6">
        <f>F13*E13</f>
        <v>2750</v>
      </c>
    </row>
    <row r="14">
      <c r="A14" t="str">
        <v>3.5</v>
      </c>
      <c r="B14" t="str">
        <v>Capa local: API, MySQL y analítica</v>
      </c>
      <c r="C14" t="str">
        <v>Real</v>
      </c>
      <c r="D14" t="str">
        <v>Equipo EPE</v>
      </c>
      <c r="E14" s="2">
        <f>Supuestos!$E$17</f>
        <v>25</v>
      </c>
      <c r="F14" s="3">
        <f>SUM(G14:N14)</f>
        <v>60</v>
      </c>
      <c r="G14" s="3">
        <v>60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6">
        <f>F14*E14</f>
        <v>1500</v>
      </c>
    </row>
    <row r="15">
      <c r="A15" t="str">
        <v>4.1</v>
      </c>
      <c r="B15" t="str">
        <v>Pruebas automáticas (90) y pipeline CI (PB-01)</v>
      </c>
      <c r="C15" t="str">
        <v>Real</v>
      </c>
      <c r="D15" t="str">
        <v>Equipo EPE</v>
      </c>
      <c r="E15" s="2">
        <f>Supuestos!$E$17</f>
        <v>25</v>
      </c>
      <c r="F15" s="3">
        <f>SUM(G15:N15)</f>
        <v>40</v>
      </c>
      <c r="G15" s="3">
        <v>40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6">
        <f>F15*E15</f>
        <v>1000</v>
      </c>
    </row>
    <row r="16">
      <c r="A16" t="str">
        <v>4.2</v>
      </c>
      <c r="B16" t="str">
        <v>Corrección de reglas de Firestore (PB-02)</v>
      </c>
      <c r="C16" t="str">
        <v>Real</v>
      </c>
      <c r="D16" t="str">
        <v>Equipo EPE</v>
      </c>
      <c r="E16" s="2">
        <f>Supuestos!$E$17</f>
        <v>25</v>
      </c>
      <c r="F16" s="3">
        <f>SUM(G16:N16)</f>
        <v>12</v>
      </c>
      <c r="G16" s="3">
        <v>12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6">
        <f>F16*E16</f>
        <v>300</v>
      </c>
    </row>
    <row r="17">
      <c r="A17" t="str">
        <v>4.3</v>
      </c>
      <c r="B17" t="str">
        <v>Capa de datos MySQL: integridad, roles y respaldo (PB-03)</v>
      </c>
      <c r="C17" t="str">
        <v>Real</v>
      </c>
      <c r="D17" t="str">
        <v>Equipo EPE</v>
      </c>
      <c r="E17" s="2">
        <f>Supuestos!$E$17</f>
        <v>25</v>
      </c>
      <c r="F17" s="3">
        <f>SUM(G17:N17)</f>
        <v>24</v>
      </c>
      <c r="G17" s="3">
        <v>24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6">
        <f>F17*E17</f>
        <v>600</v>
      </c>
    </row>
    <row r="18">
      <c r="A18" t="str">
        <v>4.4</v>
      </c>
      <c r="B18" t="str">
        <v>0 errores de TypeScript y 7 defectos corregidos (PB-07)</v>
      </c>
      <c r="C18" t="str">
        <v>Real</v>
      </c>
      <c r="D18" t="str">
        <v>Equipo EPE</v>
      </c>
      <c r="E18" s="2">
        <f>Supuestos!$E$17</f>
        <v>25</v>
      </c>
      <c r="F18" s="3">
        <f>SUM(G18:N18)</f>
        <v>12</v>
      </c>
      <c r="G18" s="3">
        <v>12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6">
        <f>F18*E18</f>
        <v>300</v>
      </c>
    </row>
    <row r="19">
      <c r="A19" t="str">
        <v>4.5</v>
      </c>
      <c r="B19" t="str">
        <v>Tipado de los módulos de dinero y asistencia (PB-09)</v>
      </c>
      <c r="C19" t="str">
        <v>Planificado</v>
      </c>
      <c r="D19" t="str">
        <v>Equipo EPE</v>
      </c>
      <c r="E19" s="2">
        <f>Supuestos!$E$17</f>
        <v>25</v>
      </c>
      <c r="F19" s="3">
        <f>SUM(G19:N19)</f>
        <v>8</v>
      </c>
      <c r="G19" s="3">
        <v>0</v>
      </c>
      <c r="H19" s="3">
        <v>0</v>
      </c>
      <c r="I19" s="3">
        <v>4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6">
        <f>F19*E19</f>
        <v>200</v>
      </c>
    </row>
    <row r="20">
      <c r="A20" t="str">
        <v>4.6</v>
      </c>
      <c r="B20" t="str">
        <v>Pruebas de componentes de matrícula y pagos (PB-12)</v>
      </c>
      <c r="C20" t="str">
        <v>Planificado</v>
      </c>
      <c r="D20" t="str">
        <v>Equipo EPE</v>
      </c>
      <c r="E20" s="2">
        <f>Supuestos!$E$17</f>
        <v>25</v>
      </c>
      <c r="F20" s="3">
        <f>SUM(G20:N20)</f>
        <v>12</v>
      </c>
      <c r="G20" s="3">
        <v>0</v>
      </c>
      <c r="H20" s="3">
        <v>0</v>
      </c>
      <c r="I20" s="3">
        <v>6</v>
      </c>
      <c r="J20" s="3">
        <v>6</v>
      </c>
      <c r="K20" s="3">
        <v>0</v>
      </c>
      <c r="L20" s="3">
        <v>0</v>
      </c>
      <c r="M20" s="3">
        <v>0</v>
      </c>
      <c r="N20" s="3">
        <v>0</v>
      </c>
      <c r="O20" s="6">
        <f>F20*E20</f>
        <v>300</v>
      </c>
    </row>
    <row r="21">
      <c r="A21" t="str">
        <v>5.1</v>
      </c>
      <c r="B21" t="str">
        <v>Subir los cambios y primera ejecución del CI</v>
      </c>
      <c r="C21" t="str">
        <v>Planificado</v>
      </c>
      <c r="D21" t="str">
        <v>Equipo EPE</v>
      </c>
      <c r="E21" s="2">
        <f>Supuestos!$E$17</f>
        <v>25</v>
      </c>
      <c r="F21" s="3">
        <f>SUM(G21:N21)</f>
        <v>2</v>
      </c>
      <c r="G21" s="3">
        <v>0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6">
        <f>F21*E21</f>
        <v>50</v>
      </c>
    </row>
    <row r="22">
      <c r="A22" t="str">
        <v>5.2</v>
      </c>
      <c r="B22" t="str">
        <v>Publicar las reglas corregidas y verificar la matrícula sin sesión (PB-04)</v>
      </c>
      <c r="C22" t="str">
        <v>Planificado</v>
      </c>
      <c r="D22" t="str">
        <v>Equipo EPE</v>
      </c>
      <c r="E22" s="2">
        <f>Supuestos!$E$17</f>
        <v>25</v>
      </c>
      <c r="F22" s="3">
        <f>SUM(G22:N22)</f>
        <v>4</v>
      </c>
      <c r="G22" s="3">
        <v>0</v>
      </c>
      <c r="H22" s="3">
        <v>2</v>
      </c>
      <c r="I22" s="3">
        <v>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6">
        <f>F22*E22</f>
        <v>100</v>
      </c>
    </row>
    <row r="23">
      <c r="A23" t="str">
        <v>5.3</v>
      </c>
      <c r="B23" t="str">
        <v>Aplicar las migraciones MySQL en la base real (PB-05)</v>
      </c>
      <c r="C23" t="str">
        <v>Planificado</v>
      </c>
      <c r="D23" t="str">
        <v>Equipo EPE</v>
      </c>
      <c r="E23" s="2">
        <f>Supuestos!$E$17</f>
        <v>25</v>
      </c>
      <c r="F23" s="3">
        <f>SUM(G23:N23)</f>
        <v>4</v>
      </c>
      <c r="G23" s="3">
        <v>0</v>
      </c>
      <c r="H23" s="3">
        <v>0</v>
      </c>
      <c r="I23" s="3">
        <v>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6">
        <f>F23*E23</f>
        <v>100</v>
      </c>
    </row>
    <row r="24">
      <c r="A24" t="str">
        <v>5.4</v>
      </c>
      <c r="B24" t="str">
        <v>Retirar secretos del historial y rotar la clave de servicio (PB-06)</v>
      </c>
      <c r="C24" t="str">
        <v>Planificado</v>
      </c>
      <c r="D24" t="str">
        <v>Equipo EPE</v>
      </c>
      <c r="E24" s="2">
        <f>Supuestos!$E$17</f>
        <v>25</v>
      </c>
      <c r="F24" s="3">
        <f>SUM(G24:N24)</f>
        <v>6</v>
      </c>
      <c r="G24" s="3">
        <v>0</v>
      </c>
      <c r="H24" s="3">
        <v>0</v>
      </c>
      <c r="I24" s="3">
        <v>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6">
        <f>F24*E24</f>
        <v>150</v>
      </c>
    </row>
    <row r="25">
      <c r="A25" t="str">
        <v>5.5</v>
      </c>
      <c r="B25" t="str">
        <v>Operación continua de la capa relacional: VM-APP01 o VPS puente (PB-13)</v>
      </c>
      <c r="C25" t="str">
        <v>Planificado</v>
      </c>
      <c r="D25" t="str">
        <v>Equipo EPE</v>
      </c>
      <c r="E25" s="2">
        <f>Supuestos!$E$17</f>
        <v>25</v>
      </c>
      <c r="F25" s="3">
        <f>SUM(G25:N25)</f>
        <v>16</v>
      </c>
      <c r="G25" s="3">
        <v>0</v>
      </c>
      <c r="H25" s="3">
        <v>0</v>
      </c>
      <c r="I25" s="3">
        <v>16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6">
        <f>F25*E25</f>
        <v>400</v>
      </c>
    </row>
    <row r="26">
      <c r="A26" t="str">
        <v>5.6</v>
      </c>
      <c r="B26" t="str">
        <v>Monitor externo con alertas sobre la URL y /health (PB-08)</v>
      </c>
      <c r="C26" t="str">
        <v>Planificado</v>
      </c>
      <c r="D26" t="str">
        <v>Equipo EPE</v>
      </c>
      <c r="E26" s="2">
        <f>Supuestos!$E$17</f>
        <v>25</v>
      </c>
      <c r="F26" s="3">
        <f>SUM(G26:N26)</f>
        <v>4</v>
      </c>
      <c r="G26" s="3">
        <v>0</v>
      </c>
      <c r="H26" s="3">
        <v>0</v>
      </c>
      <c r="I26" s="3">
        <v>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6">
        <f>F26*E26</f>
        <v>100</v>
      </c>
    </row>
    <row r="27">
      <c r="A27" t="str">
        <v>5.7</v>
      </c>
      <c r="B27" t="str">
        <v>Carga diferida de páginas (PB-10)</v>
      </c>
      <c r="C27" t="str">
        <v>Planificado</v>
      </c>
      <c r="D27" t="str">
        <v>Equipo EPE</v>
      </c>
      <c r="E27" s="2">
        <f>Supuestos!$E$17</f>
        <v>25</v>
      </c>
      <c r="F27" s="3">
        <f>SUM(G27:N27)</f>
        <v>8</v>
      </c>
      <c r="G27" s="3">
        <v>0</v>
      </c>
      <c r="H27" s="3">
        <v>0</v>
      </c>
      <c r="I27" s="3">
        <v>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6">
        <f>F27*E27</f>
        <v>200</v>
      </c>
    </row>
    <row r="28">
      <c r="A28" t="str">
        <v>5.8</v>
      </c>
      <c r="B28" t="str">
        <v>Respaldo programado de Firestore con prueba de restauración (PB-11)</v>
      </c>
      <c r="C28" t="str">
        <v>Planificado</v>
      </c>
      <c r="D28" t="str">
        <v>Equipo EPE</v>
      </c>
      <c r="E28" s="2">
        <f>Supuestos!$E$17</f>
        <v>25</v>
      </c>
      <c r="F28" s="3">
        <f>SUM(G28:N28)</f>
        <v>12</v>
      </c>
      <c r="G28" s="3">
        <v>0</v>
      </c>
      <c r="H28" s="3">
        <v>0</v>
      </c>
      <c r="I28" s="3">
        <v>4</v>
      </c>
      <c r="J28" s="3">
        <v>8</v>
      </c>
      <c r="K28" s="3">
        <v>0</v>
      </c>
      <c r="L28" s="3">
        <v>0</v>
      </c>
      <c r="M28" s="3">
        <v>0</v>
      </c>
      <c r="N28" s="3">
        <v>0</v>
      </c>
      <c r="O28" s="6">
        <f>F28*E28</f>
        <v>300</v>
      </c>
    </row>
    <row r="29">
      <c r="A29" t="str">
        <v>6.1</v>
      </c>
      <c r="B29" t="str">
        <v>Medición de la línea base AS-IS: 10 trámites cronometrados (PB-14)</v>
      </c>
      <c r="C29" t="str">
        <v>Planificado</v>
      </c>
      <c r="D29" t="str">
        <v>Equipo EPE</v>
      </c>
      <c r="E29" s="2">
        <f>Supuestos!$E$17</f>
        <v>25</v>
      </c>
      <c r="F29" s="3">
        <f>SUM(G29:N29)</f>
        <v>8</v>
      </c>
      <c r="G29" s="3">
        <v>0</v>
      </c>
      <c r="H29" s="3">
        <v>0</v>
      </c>
      <c r="I29" s="3">
        <v>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6">
        <f>F29*E29</f>
        <v>200</v>
      </c>
    </row>
    <row r="30">
      <c r="A30" t="str">
        <v>6.2</v>
      </c>
      <c r="B30" t="str">
        <v>Política de privacidad y consentimiento (PB-16)</v>
      </c>
      <c r="C30" t="str">
        <v>Planificado</v>
      </c>
      <c r="D30" t="str">
        <v>Equipo EPE</v>
      </c>
      <c r="E30" s="2">
        <f>Supuestos!$E$17</f>
        <v>25</v>
      </c>
      <c r="F30" s="3">
        <f>SUM(G30:N30)</f>
        <v>6</v>
      </c>
      <c r="G30" s="3">
        <v>0</v>
      </c>
      <c r="H30" s="3">
        <v>0</v>
      </c>
      <c r="I30" s="3">
        <v>2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6">
        <f>F30*E30</f>
        <v>150</v>
      </c>
    </row>
    <row r="31">
      <c r="A31" t="str">
        <v>6.3</v>
      </c>
      <c r="B31" t="str">
        <v>Configuración de la oferta 2027 (PB-17)</v>
      </c>
      <c r="C31" t="str">
        <v>Planificado</v>
      </c>
      <c r="D31" t="str">
        <v>Equipo EPE</v>
      </c>
      <c r="E31" s="2">
        <f>Supuestos!$E$17</f>
        <v>25</v>
      </c>
      <c r="F31" s="3">
        <f>SUM(G31:N31)</f>
        <v>4</v>
      </c>
      <c r="G31" s="3">
        <v>0</v>
      </c>
      <c r="H31" s="3">
        <v>0</v>
      </c>
      <c r="I31" s="3">
        <v>0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6">
        <f>F31*E31</f>
        <v>100</v>
      </c>
    </row>
    <row r="32">
      <c r="A32" t="str">
        <v>6.4</v>
      </c>
      <c r="B32" t="str">
        <v>Manuales por rol y capacitación (PB-15)</v>
      </c>
      <c r="C32" t="str">
        <v>Planificado</v>
      </c>
      <c r="D32" t="str">
        <v>Equipo EPE</v>
      </c>
      <c r="E32" s="2">
        <f>Supuestos!$E$17</f>
        <v>25</v>
      </c>
      <c r="F32" s="3">
        <f>SUM(G32:N32)</f>
        <v>18</v>
      </c>
      <c r="G32" s="3">
        <v>0</v>
      </c>
      <c r="H32" s="3">
        <v>0</v>
      </c>
      <c r="I32" s="3">
        <v>4</v>
      </c>
      <c r="J32" s="3">
        <v>14</v>
      </c>
      <c r="K32" s="3">
        <v>0</v>
      </c>
      <c r="L32" s="3">
        <v>0</v>
      </c>
      <c r="M32" s="3">
        <v>0</v>
      </c>
      <c r="N32" s="3">
        <v>0</v>
      </c>
      <c r="O32" s="6">
        <f>F32*E32</f>
        <v>450</v>
      </c>
    </row>
    <row r="33">
      <c r="A33" t="str">
        <v>6.5</v>
      </c>
      <c r="B33" t="str">
        <v>Acompañamiento en la campaña de matrícula 2027</v>
      </c>
      <c r="C33" t="str">
        <v>Planificado</v>
      </c>
      <c r="D33" t="str">
        <v>Equipo EPE</v>
      </c>
      <c r="E33" s="2">
        <f>Supuestos!$E$17</f>
        <v>25</v>
      </c>
      <c r="F33" s="3">
        <f>SUM(G33:N33)</f>
        <v>12</v>
      </c>
      <c r="G33" s="3">
        <v>0</v>
      </c>
      <c r="H33" s="3">
        <v>0</v>
      </c>
      <c r="I33" s="3">
        <v>0</v>
      </c>
      <c r="J33" s="3">
        <v>0</v>
      </c>
      <c r="K33" s="3">
        <v>12</v>
      </c>
      <c r="L33" s="3">
        <v>0</v>
      </c>
      <c r="M33" s="3">
        <v>0</v>
      </c>
      <c r="N33" s="3">
        <v>0</v>
      </c>
      <c r="O33" s="6">
        <f>F33*E33</f>
        <v>300</v>
      </c>
    </row>
    <row r="34">
      <c r="A34" t="str">
        <v>6.6</v>
      </c>
      <c r="B34" t="str">
        <v>Evaluación de adopción y beneficios (hito de continuidad)</v>
      </c>
      <c r="C34" t="str">
        <v>Planificado</v>
      </c>
      <c r="D34" t="str">
        <v>Equipo EPE</v>
      </c>
      <c r="E34" s="2">
        <f>Supuestos!$E$17</f>
        <v>25</v>
      </c>
      <c r="F34" s="3">
        <f>SUM(G34:N34)</f>
        <v>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4</v>
      </c>
      <c r="N34" s="3">
        <v>0</v>
      </c>
      <c r="O34" s="6">
        <f>F34*E34</f>
        <v>100</v>
      </c>
    </row>
    <row r="35">
      <c r="A35" t="str">
        <v>C.1</v>
      </c>
      <c r="B35" t="str">
        <v>Product Owner designado por la Dirección</v>
      </c>
      <c r="C35" t="str">
        <v>Planificado</v>
      </c>
      <c r="D35" t="str">
        <v>CERMAT</v>
      </c>
      <c r="E35" s="2">
        <f>Supuestos!$E$15</f>
        <v>30</v>
      </c>
      <c r="F35" s="3">
        <f>SUM(G35:N35)</f>
        <v>12</v>
      </c>
      <c r="G35" s="3">
        <v>0</v>
      </c>
      <c r="H35" s="3">
        <v>1</v>
      </c>
      <c r="I35" s="3">
        <v>8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6">
        <f>F35*E35</f>
        <v>360</v>
      </c>
    </row>
    <row r="36">
      <c r="A36" t="str">
        <v>C.2</v>
      </c>
      <c r="B36" t="str">
        <v>Revisiones de sprint con la Dirección</v>
      </c>
      <c r="C36" t="str">
        <v>Planificado</v>
      </c>
      <c r="D36" t="str">
        <v>CERMAT</v>
      </c>
      <c r="E36" s="2">
        <f>Supuestos!$E$15</f>
        <v>30</v>
      </c>
      <c r="F36" s="3">
        <f>SUM(G36:N36)</f>
        <v>3</v>
      </c>
      <c r="G36" s="3">
        <v>0</v>
      </c>
      <c r="H36" s="3">
        <v>0</v>
      </c>
      <c r="I36" s="3">
        <v>2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6">
        <f>F36*E36</f>
        <v>90</v>
      </c>
    </row>
    <row r="37">
      <c r="A37" t="str">
        <v>C.3</v>
      </c>
      <c r="B37" t="str">
        <v>Capacitación del personal administrativo y auxiliar (3 personas × 3 h)</v>
      </c>
      <c r="C37" t="str">
        <v>Planificado</v>
      </c>
      <c r="D37" t="str">
        <v>CERMAT</v>
      </c>
      <c r="E37" s="2">
        <f>Supuestos!$E$14</f>
        <v>10</v>
      </c>
      <c r="F37" s="3">
        <f>SUM(G37:N37)</f>
        <v>9</v>
      </c>
      <c r="G37" s="3">
        <v>0</v>
      </c>
      <c r="H37" s="3">
        <v>0</v>
      </c>
      <c r="I37" s="3">
        <v>0</v>
      </c>
      <c r="J37" s="3">
        <v>9</v>
      </c>
      <c r="K37" s="3">
        <v>0</v>
      </c>
      <c r="L37" s="3">
        <v>0</v>
      </c>
      <c r="M37" s="3">
        <v>0</v>
      </c>
      <c r="N37" s="3">
        <v>0</v>
      </c>
      <c r="O37" s="6">
        <f>F37*E37</f>
        <v>90</v>
      </c>
    </row>
    <row r="38">
      <c r="A38" t="str">
        <v>C.4</v>
      </c>
      <c r="B38" t="str">
        <v>Capacitación docente (3 docentes × 2 h)</v>
      </c>
      <c r="C38" t="str">
        <v>Planificado</v>
      </c>
      <c r="D38" t="str">
        <v>CERMAT</v>
      </c>
      <c r="E38" s="2">
        <f>Supuestos!$E$16</f>
        <v>20</v>
      </c>
      <c r="F38" s="3">
        <f>SUM(G38:N38)</f>
        <v>6</v>
      </c>
      <c r="G38" s="3">
        <v>0</v>
      </c>
      <c r="H38" s="3">
        <v>0</v>
      </c>
      <c r="I38" s="3">
        <v>0</v>
      </c>
      <c r="J38" s="3">
        <v>6</v>
      </c>
      <c r="K38" s="3">
        <v>0</v>
      </c>
      <c r="L38" s="3">
        <v>0</v>
      </c>
      <c r="M38" s="3">
        <v>0</v>
      </c>
      <c r="N38" s="3">
        <v>0</v>
      </c>
      <c r="O38" s="6">
        <f>F38*E38</f>
        <v>120</v>
      </c>
    </row>
    <row r="39">
      <c r="A39" t="str">
        <v>C.5</v>
      </c>
      <c r="B39" t="str">
        <v>Transferencia de conocimiento al responsable técnico de CERMAT</v>
      </c>
      <c r="C39" t="str">
        <v>Planificado</v>
      </c>
      <c r="D39" t="str">
        <v>CERMAT</v>
      </c>
      <c r="E39" s="2">
        <f>Supuestos!$E$17</f>
        <v>25</v>
      </c>
      <c r="F39" s="3">
        <f>SUM(G39:N39)</f>
        <v>16</v>
      </c>
      <c r="G39" s="3">
        <v>0</v>
      </c>
      <c r="H39" s="3">
        <v>0</v>
      </c>
      <c r="I39" s="3">
        <v>0</v>
      </c>
      <c r="J39" s="3">
        <v>8</v>
      </c>
      <c r="K39" s="3">
        <v>8</v>
      </c>
      <c r="L39" s="3">
        <v>0</v>
      </c>
      <c r="M39" s="3">
        <v>0</v>
      </c>
      <c r="N39" s="3">
        <v>0</v>
      </c>
      <c r="O39" s="6">
        <f>F39*E39</f>
        <v>400</v>
      </c>
    </row>
    <row r="41">
      <c r="B41" t="str">
        <v>Total trabajo ejecutado del equipo (costo hundido valorizado)</v>
      </c>
      <c r="F41" s="3">
        <f>F5+F6+F9+F10+F11+F12+F13+F14+F15+F16+F17+F18</f>
        <v>640</v>
      </c>
      <c r="O41" s="6">
        <f>O5+O6+O9+O10+O11+O12+O13+O14+O15+O16+O17+O18</f>
        <v>16000</v>
      </c>
    </row>
    <row r="42">
      <c r="B42" t="str">
        <v>Total trabajo planificado del equipo (aporte valorizado)</v>
      </c>
      <c r="F42" s="3">
        <f>F7+F8+F19+F20+F21+F22+F23+F24+F25+F26+F27+F28+F29+F30+F31+F32+F33+F34</f>
        <v>152</v>
      </c>
      <c r="O42" s="6">
        <f>O7+O8+O19+O20+O21+O22+O23+O24+O25+O26+O27+O28+O29+O30+O31+O32+O33+O34</f>
        <v>3800</v>
      </c>
    </row>
    <row r="43">
      <c r="B43" t="str">
        <v>Total trabajo planificado de CERMAT (tiempo del personal)</v>
      </c>
      <c r="F43" s="3">
        <f>F35+F36+F37+F38+F39</f>
        <v>46</v>
      </c>
      <c r="O43" s="6">
        <f>O35+O36+O37+O38+O39</f>
        <v>1060</v>
      </c>
    </row>
    <row r="44">
      <c r="B44" t="str">
        <v>Valor planificado por mes (equipo + CERMAT, sin contingencia)</v>
      </c>
      <c r="H44" s="6">
        <f>SUMPRODUCT(H5:H39,E5:E39)</f>
        <v>155</v>
      </c>
      <c r="I44" s="6">
        <f>SUMPRODUCT(I5:I39,E5:E39)</f>
        <v>2200</v>
      </c>
      <c r="J44" s="6">
        <f>SUMPRODUCT(J5:J39,E5:E39)</f>
        <v>1655</v>
      </c>
      <c r="K44" s="6">
        <f>SUMPRODUCT(K5:K39,E5:E39)</f>
        <v>575</v>
      </c>
      <c r="L44" s="6">
        <f>SUMPRODUCT(L5:L39,E5:E39)</f>
        <v>25</v>
      </c>
      <c r="M44" s="6">
        <f>SUMPRODUCT(M5:M39,E5:E39)</f>
        <v>150</v>
      </c>
      <c r="N44" s="6">
        <f>SUMPRODUCT(N5:N39,E5:E39)</f>
        <v>100</v>
      </c>
      <c r="O44" s="6">
        <f>SUM(H44:N44)</f>
        <v>4860</v>
      </c>
    </row>
    <row r="45">
      <c r="B45" t="str">
        <v>Reserva de contingencia (% del trabajo planificado, escenario base)</v>
      </c>
      <c r="O45" s="6">
        <f>O44*Supuestos!$E$50</f>
        <v>486</v>
      </c>
    </row>
    <row r="46">
      <c r="B46" t="str">
        <v>Presupuesto total del proyecto (BAC = ejecutado + planificado + contingencia)</v>
      </c>
      <c r="O46" s="6">
        <f>O41+O44+O45</f>
        <v>21346</v>
      </c>
    </row>
    <row r="47">
      <c r="B47" t="str">
        <v>Línea base de costos acumulada del trabajo planificado (sin contingencia)</v>
      </c>
      <c r="H47" s="6">
        <f>H44</f>
        <v>155</v>
      </c>
      <c r="I47" s="6">
        <f>H47+I44</f>
        <v>2355</v>
      </c>
      <c r="J47" s="6">
        <f>I47+J44</f>
        <v>4010</v>
      </c>
      <c r="K47" s="6">
        <f>J47+K44</f>
        <v>4585</v>
      </c>
      <c r="L47" s="6">
        <f>K47+L44</f>
        <v>4610</v>
      </c>
      <c r="M47" s="6">
        <f>L47+M44</f>
        <v>4760</v>
      </c>
      <c r="N47" s="6">
        <f>M47+N44</f>
        <v>4860</v>
      </c>
    </row>
    <row r="48">
      <c r="B48" t="str">
        <v>Línea base acumulada con la reserva de contingencia prorrateada</v>
      </c>
      <c r="H48" s="6">
        <f>H47*(1+Supuestos!$E$50)</f>
        <v>170.5</v>
      </c>
      <c r="I48" s="6">
        <f>I47*(1+Supuestos!$E$50)</f>
        <v>2590.5</v>
      </c>
      <c r="J48" s="6">
        <f>J47*(1+Supuestos!$E$50)</f>
        <v>4411</v>
      </c>
      <c r="K48" s="6">
        <f>K47*(1+Supuestos!$E$50)</f>
        <v>5043.5</v>
      </c>
      <c r="L48" s="6">
        <f>L47*(1+Supuestos!$E$50)</f>
        <v>5071</v>
      </c>
      <c r="M48" s="6">
        <f>M47*(1+Supuestos!$E$50)</f>
        <v>5236</v>
      </c>
      <c r="N48" s="6">
        <f>N47*(1+Supuestos!$E$50)</f>
        <v>5346</v>
      </c>
    </row>
  </sheetData>
  <ignoredErrors>
    <ignoredError numberStoredAsText="1" sqref="A1:O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5"/>
  <sheetViews>
    <sheetView workbookViewId="0"/>
  </sheetViews>
  <cols>
    <col min="1" max="1" width="72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Flujo de caja a 3 años por escenario (S/ constantes de 2026). Vista A: perspectiva de CERMAT. Vista B: proyecto completo con el aporte del equipo valorizado.</v>
      </c>
    </row>
    <row r="3">
      <c r="A3" t="str">
        <v>Escenario pesimista</v>
      </c>
    </row>
    <row r="4">
      <c r="A4" t="str">
        <v>Concepto</v>
      </c>
      <c r="B4" t="str">
        <v>Año 0 (2026)</v>
      </c>
      <c r="C4" t="str">
        <v>Año 1 (2027)</v>
      </c>
      <c r="D4" t="str">
        <v>Año 2 (2028)</v>
      </c>
      <c r="E4" t="str">
        <v>Año 3 (2029)</v>
      </c>
      <c r="F4" t="str">
        <v>Total</v>
      </c>
    </row>
    <row r="5">
      <c r="A5" t="str">
        <v>Adopción (% de matrículas en la plataforma)</v>
      </c>
      <c r="B5" s="4">
        <v>0</v>
      </c>
      <c r="C5" s="4">
        <f>Supuestos!$D$10</f>
        <v>0.3</v>
      </c>
      <c r="D5" s="4">
        <f>Supuestos!$D$11</f>
        <v>0.4</v>
      </c>
      <c r="E5" s="4">
        <f>Supuestos!$D$12</f>
        <v>0.5</v>
      </c>
    </row>
    <row r="6">
      <c r="A6" t="str">
        <v>Matrículas registradas en la plataforma</v>
      </c>
      <c r="B6" s="5">
        <v>0</v>
      </c>
      <c r="C6" s="5">
        <f>Supuestos!$D$8*Supuestos!$D$9*C5</f>
        <v>36</v>
      </c>
      <c r="D6" s="5">
        <f>Supuestos!$D$8*Supuestos!$D$9*D5</f>
        <v>48</v>
      </c>
      <c r="E6" s="5">
        <f>Supuestos!$D$8*Supuestos!$D$9*E5</f>
        <v>60</v>
      </c>
      <c r="F6" s="5">
        <f>SUM(B6:E6)</f>
        <v>144</v>
      </c>
    </row>
    <row r="7">
      <c r="A7" t="str">
        <v>B1 Matrícula: tiempo de secretaría y de la Dirección</v>
      </c>
      <c r="B7" s="6">
        <v>0</v>
      </c>
      <c r="C7" s="6">
        <f>C5*(Supuestos!$D$9*Supuestos!$D$8*(Supuestos!$D$19/60*Supuestos!$D$14+Supuestos!$D$20/60*Supuestos!$D$15))</f>
        <v>144</v>
      </c>
      <c r="D7" s="6">
        <f>D5*(Supuestos!$D$9*Supuestos!$D$8*(Supuestos!$D$19/60*Supuestos!$D$14+Supuestos!$D$20/60*Supuestos!$D$15))</f>
        <v>192</v>
      </c>
      <c r="E7" s="6">
        <f>E5*(Supuestos!$D$9*Supuestos!$D$8*(Supuestos!$D$19/60*Supuestos!$D$14+Supuestos!$D$20/60*Supuestos!$D$15))</f>
        <v>240</v>
      </c>
      <c r="F7" s="6">
        <f>SUM(B7:E7)</f>
        <v>576</v>
      </c>
    </row>
    <row r="8">
      <c r="A8" t="str">
        <v>B2 Pagos y reporte de gestión</v>
      </c>
      <c r="B8" s="6">
        <v>0</v>
      </c>
      <c r="C8" s="6">
        <f>C5*(Supuestos!$D$9*Supuestos!$D$8*Supuestos!$D$21*Supuestos!$D$22/60*Supuestos!$D$14+Supuestos!$D$23*12*Supuestos!$D$14)</f>
        <v>90</v>
      </c>
      <c r="D8" s="6">
        <f>D5*(Supuestos!$D$9*Supuestos!$D$8*Supuestos!$D$21*Supuestos!$D$22/60*Supuestos!$D$14+Supuestos!$D$23*12*Supuestos!$D$14)</f>
        <v>120</v>
      </c>
      <c r="E8" s="6">
        <f>E5*(Supuestos!$D$9*Supuestos!$D$8*Supuestos!$D$21*Supuestos!$D$22/60*Supuestos!$D$14+Supuestos!$D$23*12*Supuestos!$D$14)</f>
        <v>150</v>
      </c>
      <c r="F8" s="6">
        <f>SUM(B8:E8)</f>
        <v>360</v>
      </c>
    </row>
    <row r="9">
      <c r="A9" t="str">
        <v>B3 Asistencia y consultas de padres</v>
      </c>
      <c r="B9" s="6">
        <v>0</v>
      </c>
      <c r="C9" s="6">
        <f>C5*(Supuestos!$D$24/60*Supuestos!$D$25*Supuestos!$D$14+Supuestos!$D$8*Supuestos!$D$26*Supuestos!$D$29*Supuestos!$D$27/60*Supuestos!$D$28*Supuestos!$D$14)</f>
        <v>74.99999999999999</v>
      </c>
      <c r="D9" s="6">
        <f>D5*(Supuestos!$D$24/60*Supuestos!$D$25*Supuestos!$D$14+Supuestos!$D$8*Supuestos!$D$26*Supuestos!$D$29*Supuestos!$D$27/60*Supuestos!$D$28*Supuestos!$D$14)</f>
        <v>100</v>
      </c>
      <c r="E9" s="6">
        <f>E5*(Supuestos!$D$24/60*Supuestos!$D$25*Supuestos!$D$14+Supuestos!$D$8*Supuestos!$D$26*Supuestos!$D$29*Supuestos!$D$27/60*Supuestos!$D$28*Supuestos!$D$14)</f>
        <v>124.99999999999999</v>
      </c>
      <c r="F9" s="6">
        <f>SUM(B9:E9)</f>
        <v>300</v>
      </c>
    </row>
    <row r="10">
      <c r="A10" t="str">
        <v>B4 Margen de matrículas adicionales y alumnos retenidos</v>
      </c>
      <c r="B10" s="6">
        <v>0</v>
      </c>
      <c r="C10" s="6">
        <f>C5*(Supuestos!$D$9*Supuestos!$D$31*Supuestos!$D$32*(Supuestos!$D$33+Supuestos!$D$34*Supuestos!$D$35))</f>
        <v>0</v>
      </c>
      <c r="D10" s="6">
        <f>D5*(Supuestos!$D$9*Supuestos!$D$31*Supuestos!$D$32*(Supuestos!$D$33+Supuestos!$D$34*Supuestos!$D$35))</f>
        <v>0</v>
      </c>
      <c r="E10" s="6">
        <f>E5*(Supuestos!$D$9*Supuestos!$D$31*Supuestos!$D$32*(Supuestos!$D$33+Supuestos!$D$34*Supuestos!$D$35))</f>
        <v>0</v>
      </c>
      <c r="F10" s="6">
        <f>SUM(B10:E10)</f>
        <v>0</v>
      </c>
    </row>
    <row r="11">
      <c r="A11" t="str">
        <v>B5 Menor morosidad</v>
      </c>
      <c r="B11" s="6">
        <v>0</v>
      </c>
      <c r="C11" s="6">
        <f>C5*(Supuestos!$D$8*Supuestos!$D$9*Supuestos!$D$31*Supuestos!$D$36)</f>
        <v>0</v>
      </c>
      <c r="D11" s="6">
        <f>D5*(Supuestos!$D$8*Supuestos!$D$9*Supuestos!$D$31*Supuestos!$D$36)</f>
        <v>0</v>
      </c>
      <c r="E11" s="6">
        <f>E5*(Supuestos!$D$8*Supuestos!$D$9*Supuestos!$D$31*Supuestos!$D$36)</f>
        <v>0</v>
      </c>
      <c r="F11" s="6">
        <f>SUM(B11:E11)</f>
        <v>0</v>
      </c>
    </row>
    <row r="12">
      <c r="A12" t="str">
        <v>Beneficios totales</v>
      </c>
      <c r="B12" s="6">
        <f>SUM(B7:B11)</f>
        <v>0</v>
      </c>
      <c r="C12" s="6">
        <f>SUM(C7:C11)</f>
        <v>309</v>
      </c>
      <c r="D12" s="6">
        <f>SUM(D7:D11)</f>
        <v>412</v>
      </c>
      <c r="E12" s="6">
        <f>SUM(E7:E11)</f>
        <v>515</v>
      </c>
      <c r="F12" s="6">
        <f>SUM(B12:E12)</f>
        <v>1236</v>
      </c>
    </row>
    <row r="13">
      <c r="A13" t="str">
        <v>C1 Vercel Pro (hosting comercial de la SPA)</v>
      </c>
      <c r="B13" s="6">
        <v>0</v>
      </c>
      <c r="C13" s="6">
        <f>Supuestos!$D$38*Supuestos!$D$39*12*Supuestos!$D$6</f>
        <v>816</v>
      </c>
      <c r="D13" s="6">
        <f>Supuestos!$D$38*Supuestos!$D$39*12*Supuestos!$D$6</f>
        <v>816</v>
      </c>
      <c r="E13" s="6">
        <f>Supuestos!$D$38*Supuestos!$D$39*12*Supuestos!$D$6</f>
        <v>816</v>
      </c>
      <c r="F13" s="6">
        <f>SUM(B13:E13)</f>
        <v>2448</v>
      </c>
    </row>
    <row r="14">
      <c r="A14" t="str">
        <v>C2 VPS institucional imputado</v>
      </c>
      <c r="B14" s="6">
        <v>0</v>
      </c>
      <c r="C14" s="6">
        <f>Supuestos!$D$40*Supuestos!$D$6</f>
        <v>122.366</v>
      </c>
      <c r="D14" s="6">
        <f>Supuestos!$D$40*Supuestos!$D$6</f>
        <v>122.366</v>
      </c>
      <c r="E14" s="6">
        <f>Supuestos!$D$40*Supuestos!$D$6</f>
        <v>122.366</v>
      </c>
      <c r="F14" s="6">
        <f>SUM(B14:E14)</f>
        <v>367.098</v>
      </c>
    </row>
    <row r="15">
      <c r="A15" t="str">
        <v>C3 Firebase</v>
      </c>
      <c r="B15" s="6">
        <v>0</v>
      </c>
      <c r="C15" s="6">
        <f>Supuestos!$D$41*Supuestos!$D$6</f>
        <v>204</v>
      </c>
      <c r="D15" s="6">
        <f>Supuestos!$D$41*Supuestos!$D$6</f>
        <v>204</v>
      </c>
      <c r="E15" s="6">
        <f>Supuestos!$D$41*Supuestos!$D$6</f>
        <v>204</v>
      </c>
      <c r="F15" s="6">
        <f>SUM(B15:E15)</f>
        <v>612</v>
      </c>
    </row>
    <row r="16">
      <c r="A16" t="str">
        <v>C4 Operación</v>
      </c>
      <c r="B16" s="6">
        <v>0</v>
      </c>
      <c r="C16" s="6">
        <f>Supuestos!$D$42*12*Supuestos!$D$17</f>
        <v>900</v>
      </c>
      <c r="D16" s="6">
        <f>Supuestos!$D$42*12*Supuestos!$D$17</f>
        <v>900</v>
      </c>
      <c r="E16" s="6">
        <f>Supuestos!$D$42*12*Supuestos!$D$17</f>
        <v>900</v>
      </c>
      <c r="F16" s="6">
        <f>SUM(B16:E16)</f>
        <v>2700</v>
      </c>
    </row>
    <row r="17">
      <c r="A17" t="str">
        <v>C5 Mantenimiento</v>
      </c>
      <c r="B17" s="6">
        <v>0</v>
      </c>
      <c r="C17" s="6">
        <f>Supuestos!$D$43*12*Supuestos!$D$17</f>
        <v>1500</v>
      </c>
      <c r="D17" s="6">
        <f>Supuestos!$D$43*12*Supuestos!$D$17</f>
        <v>1500</v>
      </c>
      <c r="E17" s="6">
        <f>Supuestos!$D$43*12*Supuestos!$D$17</f>
        <v>1500</v>
      </c>
      <c r="F17" s="6">
        <f>SUM(B17:E17)</f>
        <v>4500</v>
      </c>
    </row>
    <row r="18">
      <c r="A18" t="str">
        <v>Costos de operación y mantenimiento</v>
      </c>
      <c r="B18" s="6">
        <f>SUM(B13:B17)</f>
        <v>0</v>
      </c>
      <c r="C18" s="6">
        <f>SUM(C13:C17)</f>
        <v>3542.366</v>
      </c>
      <c r="D18" s="6">
        <f>SUM(D13:D17)</f>
        <v>3542.366</v>
      </c>
      <c r="E18" s="6">
        <f>SUM(E13:E17)</f>
        <v>3542.366</v>
      </c>
      <c r="F18" s="6">
        <f>SUM(B18:E18)</f>
        <v>10627.098</v>
      </c>
    </row>
    <row r="19">
      <c r="A19" t="str">
        <v>Inversión de CERMAT (tiempo del personal + contingencia)</v>
      </c>
      <c r="B19" s="6">
        <f>(Supuestos!$D$45*Supuestos!$D$15+Supuestos!$D$46*Supuestos!$D$15+Supuestos!$D$47*Supuestos!$D$14+Supuestos!$D$48*Supuestos!$D$16+Supuestos!$D$49*Supuestos!$D$17)*(1+Supuestos!$D$50)</f>
        <v>1272</v>
      </c>
      <c r="C19" s="6">
        <v>0</v>
      </c>
      <c r="D19" s="6">
        <v>0</v>
      </c>
      <c r="E19" s="6">
        <v>0</v>
      </c>
      <c r="F19" s="6">
        <f>SUM(B19:E19)</f>
        <v>1272</v>
      </c>
    </row>
    <row r="20">
      <c r="A20" t="str">
        <v>Costos totales, vista A</v>
      </c>
      <c r="B20" s="6">
        <f>B18+B19</f>
        <v>1272</v>
      </c>
      <c r="C20" s="6">
        <f>C18+C19</f>
        <v>3542.366</v>
      </c>
      <c r="D20" s="6">
        <f>D18+D19</f>
        <v>3542.366</v>
      </c>
      <c r="E20" s="6">
        <f>E18+E19</f>
        <v>3542.366</v>
      </c>
      <c r="F20" s="6">
        <f>SUM(B20:E20)</f>
        <v>11899.098</v>
      </c>
    </row>
    <row r="21">
      <c r="A21" t="str">
        <v>Flujo neto, vista A</v>
      </c>
      <c r="B21" s="6">
        <f>B12-B20</f>
        <v>-1272</v>
      </c>
      <c r="C21" s="6">
        <f>C12-C20</f>
        <v>-3233.366</v>
      </c>
      <c r="D21" s="6">
        <f>D12-D20</f>
        <v>-3130.366</v>
      </c>
      <c r="E21" s="6">
        <f>E12-E20</f>
        <v>-3027.366</v>
      </c>
      <c r="F21" s="6">
        <f>SUM(B21:E21)</f>
        <v>-10663.098</v>
      </c>
    </row>
    <row r="22">
      <c r="A22" t="str">
        <v>Flujo neto acumulado, vista A</v>
      </c>
      <c r="B22" s="6">
        <f>B21</f>
        <v>-1272</v>
      </c>
      <c r="C22" s="6">
        <f>B22+C21</f>
        <v>-4505.366</v>
      </c>
      <c r="D22" s="6">
        <f>C22+D21</f>
        <v>-7635.732</v>
      </c>
      <c r="E22" s="6">
        <f>D22+E21</f>
        <v>-10663.098</v>
      </c>
    </row>
    <row r="23">
      <c r="A23" t="str">
        <v>Factor de descuento</v>
      </c>
      <c r="B23" s="9">
        <f>1/(1+Supuestos!$D$5)^0</f>
        <v>1</v>
      </c>
      <c r="C23" s="9">
        <f>1/(1+Supuestos!$D$5)^1</f>
        <v>0.8928571428571428</v>
      </c>
      <c r="D23" s="9">
        <f>1/(1+Supuestos!$D$5)^2</f>
        <v>0.7971938775510203</v>
      </c>
      <c r="E23" s="9">
        <f>1/(1+Supuestos!$D$5)^3</f>
        <v>0.7117802478134109</v>
      </c>
    </row>
    <row r="24">
      <c r="A24" t="str">
        <v>Flujo descontado, vista A</v>
      </c>
      <c r="B24" s="6">
        <f>B21*B23</f>
        <v>-1272</v>
      </c>
      <c r="C24" s="6">
        <f>C21*C23</f>
        <v>-2886.933928571428</v>
      </c>
      <c r="D24" s="6">
        <f>D21*D23</f>
        <v>-2495.508609693877</v>
      </c>
      <c r="E24" s="6">
        <f>E21*E23</f>
        <v>-2154.8193217018943</v>
      </c>
      <c r="F24" s="6">
        <f>SUM(B24:E24)</f>
        <v>-8809.2618599672</v>
      </c>
    </row>
    <row r="25">
      <c r="A25" t="str">
        <v>Flujo descontado acumulado, vista A</v>
      </c>
      <c r="B25" s="6">
        <f>B24</f>
        <v>-1272</v>
      </c>
      <c r="C25" s="6">
        <f>B25+C24</f>
        <v>-4158.933928571429</v>
      </c>
      <c r="D25" s="6">
        <f>C25+D24</f>
        <v>-6654.442538265306</v>
      </c>
      <c r="E25" s="6">
        <f>D25+E24</f>
        <v>-8809.2618599672</v>
      </c>
    </row>
    <row r="26">
      <c r="A26" t="str">
        <v>Aporte valorizado del equipo (ejecutado + planificado con contingencia)</v>
      </c>
      <c r="B26" s="6">
        <f>Supuestos!$D$51*Supuestos!$D$17+Supuestos!$D$52*Supuestos!$D$17*(1+Supuestos!$D$50)</f>
        <v>20560</v>
      </c>
      <c r="C26" s="6">
        <v>0</v>
      </c>
      <c r="D26" s="6">
        <v>0</v>
      </c>
      <c r="E26" s="6">
        <v>0</v>
      </c>
      <c r="F26" s="6">
        <f>SUM(B26:E26)</f>
        <v>20560</v>
      </c>
    </row>
    <row r="27">
      <c r="A27" t="str">
        <v>Costos totales, vista B</v>
      </c>
      <c r="B27" s="6">
        <f>B20+B26</f>
        <v>21832</v>
      </c>
      <c r="C27" s="6">
        <f>C20+C26</f>
        <v>3542.366</v>
      </c>
      <c r="D27" s="6">
        <f>D20+D26</f>
        <v>3542.366</v>
      </c>
      <c r="E27" s="6">
        <f>E20+E26</f>
        <v>3542.366</v>
      </c>
      <c r="F27" s="6">
        <f>SUM(B27:E27)</f>
        <v>32459.098000000005</v>
      </c>
    </row>
    <row r="28">
      <c r="A28" t="str">
        <v>Flujo neto, vista B</v>
      </c>
      <c r="B28" s="6">
        <f>B12-B27</f>
        <v>-21832</v>
      </c>
      <c r="C28" s="6">
        <f>C12-C27</f>
        <v>-3233.366</v>
      </c>
      <c r="D28" s="6">
        <f>D12-D27</f>
        <v>-3130.366</v>
      </c>
      <c r="E28" s="6">
        <f>E12-E27</f>
        <v>-3027.366</v>
      </c>
      <c r="F28" s="6">
        <f>SUM(B28:E28)</f>
        <v>-31223.098000000005</v>
      </c>
    </row>
    <row r="29">
      <c r="A29" t="str">
        <v>Flujo neto acumulado, vista B</v>
      </c>
      <c r="B29" s="6">
        <f>B28</f>
        <v>-21832</v>
      </c>
      <c r="C29" s="6">
        <f>B29+C28</f>
        <v>-25065.366</v>
      </c>
      <c r="D29" s="6">
        <f>C29+D28</f>
        <v>-28195.732000000004</v>
      </c>
      <c r="E29" s="6">
        <f>D29+E28</f>
        <v>-31223.098000000005</v>
      </c>
    </row>
    <row r="30">
      <c r="A30" t="str">
        <v>Flujo descontado, vista B</v>
      </c>
      <c r="B30" s="6">
        <f>B28*B23</f>
        <v>-21832</v>
      </c>
      <c r="C30" s="6">
        <f>C28*C23</f>
        <v>-2886.933928571428</v>
      </c>
      <c r="D30" s="6">
        <f>D28*D23</f>
        <v>-2495.508609693877</v>
      </c>
      <c r="E30" s="6">
        <f>E28*E23</f>
        <v>-2154.8193217018943</v>
      </c>
      <c r="F30" s="6">
        <f>SUM(B30:E30)</f>
        <v>-29369.2618599672</v>
      </c>
    </row>
    <row r="31">
      <c r="A31" t="str">
        <v>Flujo descontado acumulado, vista B</v>
      </c>
      <c r="B31" s="6">
        <f>B30</f>
        <v>-21832</v>
      </c>
      <c r="C31" s="6">
        <f>B31+C30</f>
        <v>-24718.933928571427</v>
      </c>
      <c r="D31" s="6">
        <f>C31+D30</f>
        <v>-27214.442538265303</v>
      </c>
      <c r="E31" s="6">
        <f>D31+E30</f>
        <v>-29369.2618599672</v>
      </c>
    </row>
    <row r="32">
      <c r="A32" t="str">
        <v>Auxiliar: año de recuperación, vista A</v>
      </c>
      <c r="C32" s="2" t="str">
        <f>IF(AND(B22&lt;0,C22&gt;=0),0+(-B22)/C21,"")</f>
        <v/>
      </c>
      <c r="D32" s="2" t="str">
        <f>IF(AND(C22&lt;0,D22&gt;=0),1+(-C22)/D21,"")</f>
        <v/>
      </c>
      <c r="E32" s="2" t="str">
        <f>IF(AND(D22&lt;0,E22&gt;=0),2+(-D22)/E21,"")</f>
        <v/>
      </c>
    </row>
    <row r="33">
      <c r="A33" t="str">
        <v>Auxiliar: año de recuperación descontado, vista A</v>
      </c>
      <c r="C33" s="2" t="str">
        <f>IF(AND(B25&lt;0,C25&gt;=0),0+(-B25)/C24,"")</f>
        <v/>
      </c>
      <c r="D33" s="2" t="str">
        <f>IF(AND(C25&lt;0,D25&gt;=0),1+(-C25)/D24,"")</f>
        <v/>
      </c>
      <c r="E33" s="2" t="str">
        <f>IF(AND(D25&lt;0,E25&gt;=0),2+(-D25)/E24,"")</f>
        <v/>
      </c>
    </row>
    <row r="34">
      <c r="A34" t="str">
        <v>Auxiliar: año de recuperación, vista B</v>
      </c>
      <c r="C34" s="2" t="str">
        <f>IF(AND(B29&lt;0,C29&gt;=0),0+(-B29)/C28,"")</f>
        <v/>
      </c>
      <c r="D34" s="2" t="str">
        <f>IF(AND(C29&lt;0,D29&gt;=0),1+(-C29)/D28,"")</f>
        <v/>
      </c>
      <c r="E34" s="2" t="str">
        <f>IF(AND(D29&lt;0,E29&gt;=0),2+(-D29)/E28,"")</f>
        <v/>
      </c>
    </row>
    <row r="35">
      <c r="A35" t="str">
        <v>Auxiliar: año de recuperación descontado, vista B</v>
      </c>
      <c r="C35" s="2" t="str">
        <f>IF(AND(B31&lt;0,C31&gt;=0),0+(-B31)/C30,"")</f>
        <v/>
      </c>
      <c r="D35" s="2" t="str">
        <f>IF(AND(C31&lt;0,D31&gt;=0),1+(-C31)/D30,"")</f>
        <v/>
      </c>
      <c r="E35" s="2" t="str">
        <f>IF(AND(D31&lt;0,E31&gt;=0),2+(-D31)/E30,"")</f>
        <v/>
      </c>
    </row>
    <row r="43">
      <c r="A43" t="str">
        <v>Escenario base</v>
      </c>
    </row>
    <row r="44">
      <c r="A44" t="str">
        <v>Concepto</v>
      </c>
      <c r="B44" t="str">
        <v>Año 0 (2026)</v>
      </c>
      <c r="C44" t="str">
        <v>Año 1 (2027)</v>
      </c>
      <c r="D44" t="str">
        <v>Año 2 (2028)</v>
      </c>
      <c r="E44" t="str">
        <v>Año 3 (2029)</v>
      </c>
      <c r="F44" t="str">
        <v>Total</v>
      </c>
    </row>
    <row r="45">
      <c r="A45" t="str">
        <v>Adopción (% de matrículas en la plataforma)</v>
      </c>
      <c r="B45" s="4">
        <v>0</v>
      </c>
      <c r="C45" s="4">
        <f>Supuestos!$E$10</f>
        <v>0.6</v>
      </c>
      <c r="D45" s="4">
        <f>Supuestos!$E$11</f>
        <v>0.8</v>
      </c>
      <c r="E45" s="4">
        <f>Supuestos!$E$12</f>
        <v>0.9</v>
      </c>
    </row>
    <row r="46">
      <c r="A46" t="str">
        <v>Matrículas registradas en la plataforma</v>
      </c>
      <c r="B46" s="5">
        <v>0</v>
      </c>
      <c r="C46" s="5">
        <f>Supuestos!$E$8*Supuestos!$E$9*C45</f>
        <v>108</v>
      </c>
      <c r="D46" s="5">
        <f>Supuestos!$E$8*Supuestos!$E$9*D45</f>
        <v>144</v>
      </c>
      <c r="E46" s="5">
        <f>Supuestos!$E$8*Supuestos!$E$9*E45</f>
        <v>162</v>
      </c>
      <c r="F46" s="5">
        <f>SUM(B46:E46)</f>
        <v>414</v>
      </c>
    </row>
    <row r="47">
      <c r="A47" t="str">
        <v>B1 Matrícula: tiempo de secretaría y de la Dirección</v>
      </c>
      <c r="B47" s="6">
        <v>0</v>
      </c>
      <c r="C47" s="6">
        <f>C45*(Supuestos!$E$9*Supuestos!$E$8*(Supuestos!$E$19/60*Supuestos!$E$14+Supuestos!$E$20/60*Supuestos!$E$15))</f>
        <v>693</v>
      </c>
      <c r="D47" s="6">
        <f>D45*(Supuestos!$E$9*Supuestos!$E$8*(Supuestos!$E$19/60*Supuestos!$E$14+Supuestos!$E$20/60*Supuestos!$E$15))</f>
        <v>924</v>
      </c>
      <c r="E47" s="6">
        <f>E45*(Supuestos!$E$9*Supuestos!$E$8*(Supuestos!$E$19/60*Supuestos!$E$14+Supuestos!$E$20/60*Supuestos!$E$15))</f>
        <v>1039.5</v>
      </c>
      <c r="F47" s="6">
        <f>SUM(B47:E47)</f>
        <v>2656.5</v>
      </c>
    </row>
    <row r="48">
      <c r="A48" t="str">
        <v>B2 Pagos y reporte de gestión</v>
      </c>
      <c r="B48" s="6">
        <v>0</v>
      </c>
      <c r="C48" s="6">
        <f>C45*(Supuestos!$E$9*Supuestos!$E$8*Supuestos!$E$21*Supuestos!$E$22/60*Supuestos!$E$14+Supuestos!$E$23*12*Supuestos!$E$14)</f>
        <v>396</v>
      </c>
      <c r="D48" s="6">
        <f>D45*(Supuestos!$E$9*Supuestos!$E$8*Supuestos!$E$21*Supuestos!$E$22/60*Supuestos!$E$14+Supuestos!$E$23*12*Supuestos!$E$14)</f>
        <v>528</v>
      </c>
      <c r="E48" s="6">
        <f>E45*(Supuestos!$E$9*Supuestos!$E$8*Supuestos!$E$21*Supuestos!$E$22/60*Supuestos!$E$14+Supuestos!$E$23*12*Supuestos!$E$14)</f>
        <v>594</v>
      </c>
      <c r="F48" s="6">
        <f>SUM(B48:E48)</f>
        <v>1518</v>
      </c>
    </row>
    <row r="49">
      <c r="A49" t="str">
        <v>B3 Asistencia y consultas de padres</v>
      </c>
      <c r="B49" s="6">
        <v>0</v>
      </c>
      <c r="C49" s="6">
        <f>C45*(Supuestos!$E$24/60*Supuestos!$E$25*Supuestos!$E$14+Supuestos!$E$8*Supuestos!$E$26*Supuestos!$E$29*Supuestos!$E$27/60*Supuestos!$E$28*Supuestos!$E$14)</f>
        <v>349.99999999999994</v>
      </c>
      <c r="D49" s="6">
        <f>D45*(Supuestos!$E$24/60*Supuestos!$E$25*Supuestos!$E$14+Supuestos!$E$8*Supuestos!$E$26*Supuestos!$E$29*Supuestos!$E$27/60*Supuestos!$E$28*Supuestos!$E$14)</f>
        <v>466.66666666666663</v>
      </c>
      <c r="E49" s="6">
        <f>E45*(Supuestos!$E$24/60*Supuestos!$E$25*Supuestos!$E$14+Supuestos!$E$8*Supuestos!$E$26*Supuestos!$E$29*Supuestos!$E$27/60*Supuestos!$E$28*Supuestos!$E$14)</f>
        <v>525</v>
      </c>
      <c r="F49" s="6">
        <f>SUM(B49:E49)</f>
        <v>1341.6666666666665</v>
      </c>
    </row>
    <row r="50">
      <c r="A50" t="str">
        <v>B4 Margen de matrículas adicionales y alumnos retenidos</v>
      </c>
      <c r="B50" s="6">
        <v>0</v>
      </c>
      <c r="C50" s="6">
        <f>C45*(Supuestos!$E$9*Supuestos!$E$31*Supuestos!$E$32*(Supuestos!$E$33+Supuestos!$E$34*Supuestos!$E$35))</f>
        <v>1080</v>
      </c>
      <c r="D50" s="6">
        <f>D45*(Supuestos!$E$9*Supuestos!$E$31*Supuestos!$E$32*(Supuestos!$E$33+Supuestos!$E$34*Supuestos!$E$35))</f>
        <v>1440</v>
      </c>
      <c r="E50" s="6">
        <f>E45*(Supuestos!$E$9*Supuestos!$E$31*Supuestos!$E$32*(Supuestos!$E$33+Supuestos!$E$34*Supuestos!$E$35))</f>
        <v>1620</v>
      </c>
      <c r="F50" s="6">
        <f>SUM(B50:E50)</f>
        <v>4140</v>
      </c>
    </row>
    <row r="51">
      <c r="A51" t="str">
        <v>B5 Menor morosidad</v>
      </c>
      <c r="B51" s="6">
        <v>0</v>
      </c>
      <c r="C51" s="6">
        <f>C45*(Supuestos!$E$8*Supuestos!$E$9*Supuestos!$E$31*Supuestos!$E$36)</f>
        <v>216</v>
      </c>
      <c r="D51" s="6">
        <f>D45*(Supuestos!$E$8*Supuestos!$E$9*Supuestos!$E$31*Supuestos!$E$36)</f>
        <v>288</v>
      </c>
      <c r="E51" s="6">
        <f>E45*(Supuestos!$E$8*Supuestos!$E$9*Supuestos!$E$31*Supuestos!$E$36)</f>
        <v>324</v>
      </c>
      <c r="F51" s="6">
        <f>SUM(B51:E51)</f>
        <v>828</v>
      </c>
    </row>
    <row r="52">
      <c r="A52" t="str">
        <v>Beneficios totales</v>
      </c>
      <c r="B52" s="6">
        <f>SUM(B47:B51)</f>
        <v>0</v>
      </c>
      <c r="C52" s="6">
        <f>SUM(C47:C51)</f>
        <v>2735</v>
      </c>
      <c r="D52" s="6">
        <f>SUM(D47:D51)</f>
        <v>3646.6666666666665</v>
      </c>
      <c r="E52" s="6">
        <f>SUM(E47:E51)</f>
        <v>4102.5</v>
      </c>
      <c r="F52" s="6">
        <f>SUM(B52:E52)</f>
        <v>10484.166666666666</v>
      </c>
    </row>
    <row r="53">
      <c r="A53" t="str">
        <v>C1 Vercel Pro (hosting comercial de la SPA)</v>
      </c>
      <c r="B53" s="6">
        <v>0</v>
      </c>
      <c r="C53" s="6">
        <f>Supuestos!$E$38*Supuestos!$E$39*12*Supuestos!$E$6</f>
        <v>816</v>
      </c>
      <c r="D53" s="6">
        <f>Supuestos!$E$38*Supuestos!$E$39*12*Supuestos!$E$6</f>
        <v>816</v>
      </c>
      <c r="E53" s="6">
        <f>Supuestos!$E$38*Supuestos!$E$39*12*Supuestos!$E$6</f>
        <v>816</v>
      </c>
      <c r="F53" s="6">
        <f>SUM(B53:E53)</f>
        <v>2448</v>
      </c>
    </row>
    <row r="54">
      <c r="A54" t="str">
        <v>C2 VPS institucional imputado</v>
      </c>
      <c r="B54" s="6">
        <v>0</v>
      </c>
      <c r="C54" s="6">
        <f>Supuestos!$E$40*Supuestos!$E$6</f>
        <v>122.366</v>
      </c>
      <c r="D54" s="6">
        <f>Supuestos!$E$40*Supuestos!$E$6</f>
        <v>122.366</v>
      </c>
      <c r="E54" s="6">
        <f>Supuestos!$E$40*Supuestos!$E$6</f>
        <v>122.366</v>
      </c>
      <c r="F54" s="6">
        <f>SUM(B54:E54)</f>
        <v>367.098</v>
      </c>
    </row>
    <row r="55">
      <c r="A55" t="str">
        <v>C3 Firebase</v>
      </c>
      <c r="B55" s="6">
        <v>0</v>
      </c>
      <c r="C55" s="6">
        <f>Supuestos!$E$41*Supuestos!$E$6</f>
        <v>0</v>
      </c>
      <c r="D55" s="6">
        <f>Supuestos!$E$41*Supuestos!$E$6</f>
        <v>0</v>
      </c>
      <c r="E55" s="6">
        <f>Supuestos!$E$41*Supuestos!$E$6</f>
        <v>0</v>
      </c>
      <c r="F55" s="6">
        <f>SUM(B55:E55)</f>
        <v>0</v>
      </c>
    </row>
    <row r="56">
      <c r="A56" t="str">
        <v>C4 Operación</v>
      </c>
      <c r="B56" s="6">
        <v>0</v>
      </c>
      <c r="C56" s="6">
        <f>Supuestos!$E$42*12*Supuestos!$E$17</f>
        <v>600</v>
      </c>
      <c r="D56" s="6">
        <f>Supuestos!$E$42*12*Supuestos!$E$17</f>
        <v>600</v>
      </c>
      <c r="E56" s="6">
        <f>Supuestos!$E$42*12*Supuestos!$E$17</f>
        <v>600</v>
      </c>
      <c r="F56" s="6">
        <f>SUM(B56:E56)</f>
        <v>1800</v>
      </c>
    </row>
    <row r="57">
      <c r="A57" t="str">
        <v>C5 Mantenimiento</v>
      </c>
      <c r="B57" s="6">
        <v>0</v>
      </c>
      <c r="C57" s="6">
        <f>Supuestos!$E$43*12*Supuestos!$E$17</f>
        <v>900</v>
      </c>
      <c r="D57" s="6">
        <f>Supuestos!$E$43*12*Supuestos!$E$17</f>
        <v>900</v>
      </c>
      <c r="E57" s="6">
        <f>Supuestos!$E$43*12*Supuestos!$E$17</f>
        <v>900</v>
      </c>
      <c r="F57" s="6">
        <f>SUM(B57:E57)</f>
        <v>2700</v>
      </c>
    </row>
    <row r="58">
      <c r="A58" t="str">
        <v>Costos de operación y mantenimiento</v>
      </c>
      <c r="B58" s="6">
        <f>SUM(B53:B57)</f>
        <v>0</v>
      </c>
      <c r="C58" s="6">
        <f>SUM(C53:C57)</f>
        <v>2438.366</v>
      </c>
      <c r="D58" s="6">
        <f>SUM(D53:D57)</f>
        <v>2438.366</v>
      </c>
      <c r="E58" s="6">
        <f>SUM(E53:E57)</f>
        <v>2438.366</v>
      </c>
      <c r="F58" s="6">
        <f>SUM(B58:E58)</f>
        <v>7315.098</v>
      </c>
    </row>
    <row r="59">
      <c r="A59" t="str">
        <v>Inversión de CERMAT (tiempo del personal + contingencia)</v>
      </c>
      <c r="B59" s="6">
        <f>(Supuestos!$E$45*Supuestos!$E$15+Supuestos!$E$46*Supuestos!$E$15+Supuestos!$E$47*Supuestos!$E$14+Supuestos!$E$48*Supuestos!$E$16+Supuestos!$E$49*Supuestos!$E$17)*(1+Supuestos!$E$50)</f>
        <v>1166</v>
      </c>
      <c r="C59" s="6">
        <v>0</v>
      </c>
      <c r="D59" s="6">
        <v>0</v>
      </c>
      <c r="E59" s="6">
        <v>0</v>
      </c>
      <c r="F59" s="6">
        <f>SUM(B59:E59)</f>
        <v>1166</v>
      </c>
    </row>
    <row r="60">
      <c r="A60" t="str">
        <v>Costos totales, vista A</v>
      </c>
      <c r="B60" s="6">
        <f>B58+B59</f>
        <v>1166</v>
      </c>
      <c r="C60" s="6">
        <f>C58+C59</f>
        <v>2438.366</v>
      </c>
      <c r="D60" s="6">
        <f>D58+D59</f>
        <v>2438.366</v>
      </c>
      <c r="E60" s="6">
        <f>E58+E59</f>
        <v>2438.366</v>
      </c>
      <c r="F60" s="6">
        <f>SUM(B60:E60)</f>
        <v>8481.098</v>
      </c>
    </row>
    <row r="61">
      <c r="A61" t="str">
        <v>Flujo neto, vista A</v>
      </c>
      <c r="B61" s="6">
        <f>B52-B60</f>
        <v>-1166</v>
      </c>
      <c r="C61" s="6">
        <f>C52-C60</f>
        <v>296.634</v>
      </c>
      <c r="D61" s="6">
        <f>D52-D60</f>
        <v>1208.3006666666665</v>
      </c>
      <c r="E61" s="6">
        <f>E52-E60</f>
        <v>1664.134</v>
      </c>
      <c r="F61" s="6">
        <f>SUM(B61:E61)</f>
        <v>2003.0686666666666</v>
      </c>
    </row>
    <row r="62">
      <c r="A62" t="str">
        <v>Flujo neto acumulado, vista A</v>
      </c>
      <c r="B62" s="6">
        <f>B61</f>
        <v>-1166</v>
      </c>
      <c r="C62" s="6">
        <f>B62+C61</f>
        <v>-869.366</v>
      </c>
      <c r="D62" s="6">
        <f>C62+D61</f>
        <v>338.93466666666654</v>
      </c>
      <c r="E62" s="6">
        <f>D62+E61</f>
        <v>2003.0686666666666</v>
      </c>
    </row>
    <row r="63">
      <c r="A63" t="str">
        <v>Factor de descuento</v>
      </c>
      <c r="B63" s="9">
        <f>1/(1+Supuestos!$E$5)^0</f>
        <v>1</v>
      </c>
      <c r="C63" s="9">
        <f>1/(1+Supuestos!$E$5)^1</f>
        <v>0.8928571428571428</v>
      </c>
      <c r="D63" s="9">
        <f>1/(1+Supuestos!$E$5)^2</f>
        <v>0.7971938775510203</v>
      </c>
      <c r="E63" s="9">
        <f>1/(1+Supuestos!$E$5)^3</f>
        <v>0.7117802478134109</v>
      </c>
    </row>
    <row r="64">
      <c r="A64" t="str">
        <v>Flujo descontado, vista A</v>
      </c>
      <c r="B64" s="6">
        <f>B61*B63</f>
        <v>-1166</v>
      </c>
      <c r="C64" s="6">
        <f>C61*C63</f>
        <v>264.8517857142857</v>
      </c>
      <c r="D64" s="6">
        <f>D61*D63</f>
        <v>963.2498937074828</v>
      </c>
      <c r="E64" s="6">
        <f>E61*E63</f>
        <v>1184.4977109147228</v>
      </c>
      <c r="F64" s="6">
        <f>SUM(B64:E64)</f>
        <v>1246.5993903364913</v>
      </c>
    </row>
    <row r="65">
      <c r="A65" t="str">
        <v>Flujo descontado acumulado, vista A</v>
      </c>
      <c r="B65" s="6">
        <f>B64</f>
        <v>-1166</v>
      </c>
      <c r="C65" s="6">
        <f>B65+C64</f>
        <v>-901.1482142857143</v>
      </c>
      <c r="D65" s="6">
        <f>C65+D64</f>
        <v>62.101679421768495</v>
      </c>
      <c r="E65" s="6">
        <f>D65+E64</f>
        <v>1246.5993903364913</v>
      </c>
    </row>
    <row r="66">
      <c r="A66" t="str">
        <v>Aporte valorizado del equipo (ejecutado + planificado con contingencia)</v>
      </c>
      <c r="B66" s="6">
        <f>Supuestos!$E$51*Supuestos!$E$17+Supuestos!$E$52*Supuestos!$E$17*(1+Supuestos!$E$50)</f>
        <v>20180</v>
      </c>
      <c r="C66" s="6">
        <v>0</v>
      </c>
      <c r="D66" s="6">
        <v>0</v>
      </c>
      <c r="E66" s="6">
        <v>0</v>
      </c>
      <c r="F66" s="6">
        <f>SUM(B66:E66)</f>
        <v>20180</v>
      </c>
    </row>
    <row r="67">
      <c r="A67" t="str">
        <v>Costos totales, vista B</v>
      </c>
      <c r="B67" s="6">
        <f>B60+B66</f>
        <v>21346</v>
      </c>
      <c r="C67" s="6">
        <f>C60+C66</f>
        <v>2438.366</v>
      </c>
      <c r="D67" s="6">
        <f>D60+D66</f>
        <v>2438.366</v>
      </c>
      <c r="E67" s="6">
        <f>E60+E66</f>
        <v>2438.366</v>
      </c>
      <c r="F67" s="6">
        <f>SUM(B67:E67)</f>
        <v>28661.098000000005</v>
      </c>
    </row>
    <row r="68">
      <c r="A68" t="str">
        <v>Flujo neto, vista B</v>
      </c>
      <c r="B68" s="6">
        <f>B52-B67</f>
        <v>-21346</v>
      </c>
      <c r="C68" s="6">
        <f>C52-C67</f>
        <v>296.634</v>
      </c>
      <c r="D68" s="6">
        <f>D52-D67</f>
        <v>1208.3006666666665</v>
      </c>
      <c r="E68" s="6">
        <f>E52-E67</f>
        <v>1664.134</v>
      </c>
      <c r="F68" s="6">
        <f>SUM(B68:E68)</f>
        <v>-18176.931333333334</v>
      </c>
    </row>
    <row r="69">
      <c r="A69" t="str">
        <v>Flujo neto acumulado, vista B</v>
      </c>
      <c r="B69" s="6">
        <f>B68</f>
        <v>-21346</v>
      </c>
      <c r="C69" s="6">
        <f>B69+C68</f>
        <v>-21049.366</v>
      </c>
      <c r="D69" s="6">
        <f>C69+D68</f>
        <v>-19841.065333333336</v>
      </c>
      <c r="E69" s="6">
        <f>D69+E68</f>
        <v>-18176.931333333334</v>
      </c>
    </row>
    <row r="70">
      <c r="A70" t="str">
        <v>Flujo descontado, vista B</v>
      </c>
      <c r="B70" s="6">
        <f>B68*B63</f>
        <v>-21346</v>
      </c>
      <c r="C70" s="6">
        <f>C68*C63</f>
        <v>264.8517857142857</v>
      </c>
      <c r="D70" s="6">
        <f>D68*D63</f>
        <v>963.2498937074828</v>
      </c>
      <c r="E70" s="6">
        <f>E68*E63</f>
        <v>1184.4977109147228</v>
      </c>
      <c r="F70" s="6">
        <f>SUM(B70:E70)</f>
        <v>-18933.40060966351</v>
      </c>
    </row>
    <row r="71">
      <c r="A71" t="str">
        <v>Flujo descontado acumulado, vista B</v>
      </c>
      <c r="B71" s="6">
        <f>B70</f>
        <v>-21346</v>
      </c>
      <c r="C71" s="6">
        <f>B71+C70</f>
        <v>-21081.148214285713</v>
      </c>
      <c r="D71" s="6">
        <f>C71+D70</f>
        <v>-20117.89832057823</v>
      </c>
      <c r="E71" s="6">
        <f>D71+E70</f>
        <v>-18933.40060966351</v>
      </c>
    </row>
    <row r="72">
      <c r="A72" t="str">
        <v>Auxiliar: año de recuperación, vista A</v>
      </c>
      <c r="C72" s="2" t="str">
        <f>IF(AND(B62&lt;0,C62&gt;=0),0+(-B62)/C61,"")</f>
        <v/>
      </c>
      <c r="D72" s="2">
        <f>IF(AND(C62&lt;0,D62&gt;=0),1+(-C62)/D61,"")</f>
        <v>1.7194947615135527</v>
      </c>
      <c r="E72" s="2" t="str">
        <f>IF(AND(D62&lt;0,E62&gt;=0),2+(-D62)/E61,"")</f>
        <v/>
      </c>
    </row>
    <row r="73">
      <c r="A73" t="str">
        <v>Auxiliar: año de recuperación descontado, vista A</v>
      </c>
      <c r="C73" s="2" t="str">
        <f>IF(AND(B65&lt;0,C65&gt;=0),0+(-B65)/C64,"")</f>
        <v/>
      </c>
      <c r="D73" s="2">
        <f>IF(AND(C65&lt;0,D65&gt;=0),1+(-C65)/D64,"")</f>
        <v>1.9355290046461948</v>
      </c>
      <c r="E73" s="2" t="str">
        <f>IF(AND(D65&lt;0,E65&gt;=0),2+(-D65)/E64,"")</f>
        <v/>
      </c>
    </row>
    <row r="74">
      <c r="A74" t="str">
        <v>Auxiliar: año de recuperación, vista B</v>
      </c>
      <c r="C74" s="2" t="str">
        <f>IF(AND(B69&lt;0,C69&gt;=0),0+(-B69)/C68,"")</f>
        <v/>
      </c>
      <c r="D74" s="2" t="str">
        <f>IF(AND(C69&lt;0,D69&gt;=0),1+(-C69)/D68,"")</f>
        <v/>
      </c>
      <c r="E74" s="2" t="str">
        <f>IF(AND(D69&lt;0,E69&gt;=0),2+(-D69)/E68,"")</f>
        <v/>
      </c>
    </row>
    <row r="75">
      <c r="A75" t="str">
        <v>Auxiliar: año de recuperación descontado, vista B</v>
      </c>
      <c r="C75" s="2" t="str">
        <f>IF(AND(B71&lt;0,C71&gt;=0),0+(-B71)/C70,"")</f>
        <v/>
      </c>
      <c r="D75" s="2" t="str">
        <f>IF(AND(C71&lt;0,D71&gt;=0),1+(-C71)/D70,"")</f>
        <v/>
      </c>
      <c r="E75" s="2" t="str">
        <f>IF(AND(D71&lt;0,E71&gt;=0),2+(-D71)/E70,"")</f>
        <v/>
      </c>
    </row>
    <row r="83">
      <c r="A83" t="str">
        <v>Escenario optimista</v>
      </c>
    </row>
    <row r="84">
      <c r="A84" t="str">
        <v>Concepto</v>
      </c>
      <c r="B84" t="str">
        <v>Año 0 (2026)</v>
      </c>
      <c r="C84" t="str">
        <v>Año 1 (2027)</v>
      </c>
      <c r="D84" t="str">
        <v>Año 2 (2028)</v>
      </c>
      <c r="E84" t="str">
        <v>Año 3 (2029)</v>
      </c>
      <c r="F84" t="str">
        <v>Total</v>
      </c>
    </row>
    <row r="85">
      <c r="A85" t="str">
        <v>Adopción (% de matrículas en la plataforma)</v>
      </c>
      <c r="B85" s="4">
        <v>0</v>
      </c>
      <c r="C85" s="4">
        <f>Supuestos!$F$10</f>
        <v>0.8</v>
      </c>
      <c r="D85" s="4">
        <f>Supuestos!$F$11</f>
        <v>0.95</v>
      </c>
      <c r="E85" s="4">
        <f>Supuestos!$F$12</f>
        <v>1</v>
      </c>
    </row>
    <row r="86">
      <c r="A86" t="str">
        <v>Matrículas registradas en la plataforma</v>
      </c>
      <c r="B86" s="5">
        <v>0</v>
      </c>
      <c r="C86" s="5">
        <f>Supuestos!$F$8*Supuestos!$F$9*C85</f>
        <v>216</v>
      </c>
      <c r="D86" s="5">
        <f>Supuestos!$F$8*Supuestos!$F$9*D85</f>
        <v>256.5</v>
      </c>
      <c r="E86" s="5">
        <f>Supuestos!$F$8*Supuestos!$F$9*E85</f>
        <v>270</v>
      </c>
      <c r="F86" s="5">
        <f>SUM(B86:E86)</f>
        <v>742.5</v>
      </c>
    </row>
    <row r="87">
      <c r="A87" t="str">
        <v>B1 Matrícula: tiempo de secretaría y de la Dirección</v>
      </c>
      <c r="B87" s="6">
        <v>0</v>
      </c>
      <c r="C87" s="6">
        <f>C85*(Supuestos!$F$9*Supuestos!$F$8*(Supuestos!$F$19/60*Supuestos!$F$14+Supuestos!$F$20/60*Supuestos!$F$15))</f>
        <v>1620</v>
      </c>
      <c r="D87" s="6">
        <f>D85*(Supuestos!$F$9*Supuestos!$F$8*(Supuestos!$F$19/60*Supuestos!$F$14+Supuestos!$F$20/60*Supuestos!$F$15))</f>
        <v>1923.75</v>
      </c>
      <c r="E87" s="6">
        <f>E85*(Supuestos!$F$9*Supuestos!$F$8*(Supuestos!$F$19/60*Supuestos!$F$14+Supuestos!$F$20/60*Supuestos!$F$15))</f>
        <v>2025</v>
      </c>
      <c r="F87" s="6">
        <f>SUM(B87:E87)</f>
        <v>5568.75</v>
      </c>
    </row>
    <row r="88">
      <c r="A88" t="str">
        <v>B2 Pagos y reporte de gestión</v>
      </c>
      <c r="B88" s="6">
        <v>0</v>
      </c>
      <c r="C88" s="6">
        <f>C85*(Supuestos!$F$9*Supuestos!$F$8*Supuestos!$F$21*Supuestos!$F$22/60*Supuestos!$F$14+Supuestos!$F$23*12*Supuestos!$F$14)</f>
        <v>816</v>
      </c>
      <c r="D88" s="6">
        <f>D85*(Supuestos!$F$9*Supuestos!$F$8*Supuestos!$F$21*Supuestos!$F$22/60*Supuestos!$F$14+Supuestos!$F$23*12*Supuestos!$F$14)</f>
        <v>969</v>
      </c>
      <c r="E88" s="6">
        <f>E85*(Supuestos!$F$9*Supuestos!$F$8*Supuestos!$F$21*Supuestos!$F$22/60*Supuestos!$F$14+Supuestos!$F$23*12*Supuestos!$F$14)</f>
        <v>1020</v>
      </c>
      <c r="F88" s="6">
        <f>SUM(B88:E88)</f>
        <v>2805</v>
      </c>
    </row>
    <row r="89">
      <c r="A89" t="str">
        <v>B3 Asistencia y consultas de padres</v>
      </c>
      <c r="B89" s="6">
        <v>0</v>
      </c>
      <c r="C89" s="6">
        <f>C85*(Supuestos!$F$24/60*Supuestos!$F$25*Supuestos!$F$14+Supuestos!$F$8*Supuestos!$F$26*Supuestos!$F$29*Supuestos!$F$27/60*Supuestos!$F$28*Supuestos!$F$14)</f>
        <v>850</v>
      </c>
      <c r="D89" s="6">
        <f>D85*(Supuestos!$F$24/60*Supuestos!$F$25*Supuestos!$F$14+Supuestos!$F$8*Supuestos!$F$26*Supuestos!$F$29*Supuestos!$F$27/60*Supuestos!$F$28*Supuestos!$F$14)</f>
        <v>1009.375</v>
      </c>
      <c r="E89" s="6">
        <f>E85*(Supuestos!$F$24/60*Supuestos!$F$25*Supuestos!$F$14+Supuestos!$F$8*Supuestos!$F$26*Supuestos!$F$29*Supuestos!$F$27/60*Supuestos!$F$28*Supuestos!$F$14)</f>
        <v>1062.5</v>
      </c>
      <c r="F89" s="6">
        <f>SUM(B89:E89)</f>
        <v>2921.875</v>
      </c>
    </row>
    <row r="90">
      <c r="A90" t="str">
        <v>B4 Margen de matrículas adicionales y alumnos retenidos</v>
      </c>
      <c r="B90" s="6">
        <v>0</v>
      </c>
      <c r="C90" s="6">
        <f>C85*(Supuestos!$F$9*Supuestos!$F$31*Supuestos!$F$32*(Supuestos!$F$33+Supuestos!$F$34*Supuestos!$F$35))</f>
        <v>2880</v>
      </c>
      <c r="D90" s="6">
        <f>D85*(Supuestos!$F$9*Supuestos!$F$31*Supuestos!$F$32*(Supuestos!$F$33+Supuestos!$F$34*Supuestos!$F$35))</f>
        <v>3420</v>
      </c>
      <c r="E90" s="6">
        <f>E85*(Supuestos!$F$9*Supuestos!$F$31*Supuestos!$F$32*(Supuestos!$F$33+Supuestos!$F$34*Supuestos!$F$35))</f>
        <v>3600</v>
      </c>
      <c r="F90" s="6">
        <f>SUM(B90:E90)</f>
        <v>9900</v>
      </c>
    </row>
    <row r="91">
      <c r="A91" t="str">
        <v>B5 Menor morosidad</v>
      </c>
      <c r="B91" s="6">
        <v>0</v>
      </c>
      <c r="C91" s="6">
        <f>C85*(Supuestos!$F$8*Supuestos!$F$9*Supuestos!$F$31*Supuestos!$F$36)</f>
        <v>864</v>
      </c>
      <c r="D91" s="6">
        <f>D85*(Supuestos!$F$8*Supuestos!$F$9*Supuestos!$F$31*Supuestos!$F$36)</f>
        <v>1026</v>
      </c>
      <c r="E91" s="6">
        <f>E85*(Supuestos!$F$8*Supuestos!$F$9*Supuestos!$F$31*Supuestos!$F$36)</f>
        <v>1080</v>
      </c>
      <c r="F91" s="6">
        <f>SUM(B91:E91)</f>
        <v>2970</v>
      </c>
    </row>
    <row r="92">
      <c r="A92" t="str">
        <v>Beneficios totales</v>
      </c>
      <c r="B92" s="6">
        <f>SUM(B87:B91)</f>
        <v>0</v>
      </c>
      <c r="C92" s="6">
        <f>SUM(C87:C91)</f>
        <v>7030</v>
      </c>
      <c r="D92" s="6">
        <f>SUM(D87:D91)</f>
        <v>8348.125</v>
      </c>
      <c r="E92" s="6">
        <f>SUM(E87:E91)</f>
        <v>8787.5</v>
      </c>
      <c r="F92" s="6">
        <f>SUM(B92:E92)</f>
        <v>24165.625</v>
      </c>
    </row>
    <row r="93">
      <c r="A93" t="str">
        <v>C1 Vercel Pro (hosting comercial de la SPA)</v>
      </c>
      <c r="B93" s="6">
        <v>0</v>
      </c>
      <c r="C93" s="6">
        <f>Supuestos!$F$38*Supuestos!$F$39*12*Supuestos!$F$6</f>
        <v>816</v>
      </c>
      <c r="D93" s="6">
        <f>Supuestos!$F$38*Supuestos!$F$39*12*Supuestos!$F$6</f>
        <v>816</v>
      </c>
      <c r="E93" s="6">
        <f>Supuestos!$F$38*Supuestos!$F$39*12*Supuestos!$F$6</f>
        <v>816</v>
      </c>
      <c r="F93" s="6">
        <f>SUM(B93:E93)</f>
        <v>2448</v>
      </c>
    </row>
    <row r="94">
      <c r="A94" t="str">
        <v>C2 VPS institucional imputado</v>
      </c>
      <c r="B94" s="6">
        <v>0</v>
      </c>
      <c r="C94" s="6">
        <f>Supuestos!$F$40*Supuestos!$F$6</f>
        <v>122.366</v>
      </c>
      <c r="D94" s="6">
        <f>Supuestos!$F$40*Supuestos!$F$6</f>
        <v>122.366</v>
      </c>
      <c r="E94" s="6">
        <f>Supuestos!$F$40*Supuestos!$F$6</f>
        <v>122.366</v>
      </c>
      <c r="F94" s="6">
        <f>SUM(B94:E94)</f>
        <v>367.098</v>
      </c>
    </row>
    <row r="95">
      <c r="A95" t="str">
        <v>C3 Firebase</v>
      </c>
      <c r="B95" s="6">
        <v>0</v>
      </c>
      <c r="C95" s="6">
        <f>Supuestos!$F$41*Supuestos!$F$6</f>
        <v>0</v>
      </c>
      <c r="D95" s="6">
        <f>Supuestos!$F$41*Supuestos!$F$6</f>
        <v>0</v>
      </c>
      <c r="E95" s="6">
        <f>Supuestos!$F$41*Supuestos!$F$6</f>
        <v>0</v>
      </c>
      <c r="F95" s="6">
        <f>SUM(B95:E95)</f>
        <v>0</v>
      </c>
    </row>
    <row r="96">
      <c r="A96" t="str">
        <v>C4 Operación</v>
      </c>
      <c r="B96" s="6">
        <v>0</v>
      </c>
      <c r="C96" s="6">
        <f>Supuestos!$F$42*12*Supuestos!$F$17</f>
        <v>450</v>
      </c>
      <c r="D96" s="6">
        <f>Supuestos!$F$42*12*Supuestos!$F$17</f>
        <v>450</v>
      </c>
      <c r="E96" s="6">
        <f>Supuestos!$F$42*12*Supuestos!$F$17</f>
        <v>450</v>
      </c>
      <c r="F96" s="6">
        <f>SUM(B96:E96)</f>
        <v>1350</v>
      </c>
    </row>
    <row r="97">
      <c r="A97" t="str">
        <v>C5 Mantenimiento</v>
      </c>
      <c r="B97" s="6">
        <v>0</v>
      </c>
      <c r="C97" s="6">
        <f>Supuestos!$F$43*12*Supuestos!$F$17</f>
        <v>600</v>
      </c>
      <c r="D97" s="6">
        <f>Supuestos!$F$43*12*Supuestos!$F$17</f>
        <v>600</v>
      </c>
      <c r="E97" s="6">
        <f>Supuestos!$F$43*12*Supuestos!$F$17</f>
        <v>600</v>
      </c>
      <c r="F97" s="6">
        <f>SUM(B97:E97)</f>
        <v>1800</v>
      </c>
    </row>
    <row r="98">
      <c r="A98" t="str">
        <v>Costos de operación y mantenimiento</v>
      </c>
      <c r="B98" s="6">
        <f>SUM(B93:B97)</f>
        <v>0</v>
      </c>
      <c r="C98" s="6">
        <f>SUM(C93:C97)</f>
        <v>1988.366</v>
      </c>
      <c r="D98" s="6">
        <f>SUM(D93:D97)</f>
        <v>1988.366</v>
      </c>
      <c r="E98" s="6">
        <f>SUM(E93:E97)</f>
        <v>1988.366</v>
      </c>
      <c r="F98" s="6">
        <f>SUM(B98:E98)</f>
        <v>5965.098</v>
      </c>
    </row>
    <row r="99">
      <c r="A99" t="str">
        <v>Inversión de CERMAT (tiempo del personal + contingencia)</v>
      </c>
      <c r="B99" s="6">
        <f>(Supuestos!$F$45*Supuestos!$F$15+Supuestos!$F$46*Supuestos!$F$15+Supuestos!$F$47*Supuestos!$F$14+Supuestos!$F$48*Supuestos!$F$16+Supuestos!$F$49*Supuestos!$F$17)*(1+Supuestos!$F$50)</f>
        <v>1166</v>
      </c>
      <c r="C99" s="6">
        <v>0</v>
      </c>
      <c r="D99" s="6">
        <v>0</v>
      </c>
      <c r="E99" s="6">
        <v>0</v>
      </c>
      <c r="F99" s="6">
        <f>SUM(B99:E99)</f>
        <v>1166</v>
      </c>
    </row>
    <row r="100">
      <c r="A100" t="str">
        <v>Costos totales, vista A</v>
      </c>
      <c r="B100" s="6">
        <f>B98+B99</f>
        <v>1166</v>
      </c>
      <c r="C100" s="6">
        <f>C98+C99</f>
        <v>1988.366</v>
      </c>
      <c r="D100" s="6">
        <f>D98+D99</f>
        <v>1988.366</v>
      </c>
      <c r="E100" s="6">
        <f>E98+E99</f>
        <v>1988.366</v>
      </c>
      <c r="F100" s="6">
        <f>SUM(B100:E100)</f>
        <v>7131.098</v>
      </c>
    </row>
    <row r="101">
      <c r="A101" t="str">
        <v>Flujo neto, vista A</v>
      </c>
      <c r="B101" s="6">
        <f>B92-B100</f>
        <v>-1166</v>
      </c>
      <c r="C101" s="6">
        <f>C92-C100</f>
        <v>5041.634</v>
      </c>
      <c r="D101" s="6">
        <f>D92-D100</f>
        <v>6359.759</v>
      </c>
      <c r="E101" s="6">
        <f>E92-E100</f>
        <v>6799.134</v>
      </c>
      <c r="F101" s="6">
        <f>SUM(B101:E101)</f>
        <v>17034.527000000002</v>
      </c>
    </row>
    <row r="102">
      <c r="A102" t="str">
        <v>Flujo neto acumulado, vista A</v>
      </c>
      <c r="B102" s="6">
        <f>B101</f>
        <v>-1166</v>
      </c>
      <c r="C102" s="6">
        <f>B102+C101</f>
        <v>3875.634</v>
      </c>
      <c r="D102" s="6">
        <f>C102+D101</f>
        <v>10235.393</v>
      </c>
      <c r="E102" s="6">
        <f>D102+E101</f>
        <v>17034.527000000002</v>
      </c>
    </row>
    <row r="103">
      <c r="A103" t="str">
        <v>Factor de descuento</v>
      </c>
      <c r="B103" s="9">
        <f>1/(1+Supuestos!$F$5)^0</f>
        <v>1</v>
      </c>
      <c r="C103" s="9">
        <f>1/(1+Supuestos!$F$5)^1</f>
        <v>0.8928571428571428</v>
      </c>
      <c r="D103" s="9">
        <f>1/(1+Supuestos!$F$5)^2</f>
        <v>0.7971938775510203</v>
      </c>
      <c r="E103" s="9">
        <f>1/(1+Supuestos!$F$5)^3</f>
        <v>0.7117802478134109</v>
      </c>
    </row>
    <row r="104">
      <c r="A104" t="str">
        <v>Flujo descontado, vista A</v>
      </c>
      <c r="B104" s="6">
        <f>B101*B103</f>
        <v>-1166</v>
      </c>
      <c r="C104" s="6">
        <f>C101*C103</f>
        <v>4501.458928571428</v>
      </c>
      <c r="D104" s="6">
        <f>D101*D103</f>
        <v>5069.9609375</v>
      </c>
      <c r="E104" s="6">
        <f>E101*E103</f>
        <v>4839.489283436587</v>
      </c>
      <c r="F104" s="6">
        <f>SUM(B104:E104)</f>
        <v>13244.909149508016</v>
      </c>
    </row>
    <row r="105">
      <c r="A105" t="str">
        <v>Flujo descontado acumulado, vista A</v>
      </c>
      <c r="B105" s="6">
        <f>B104</f>
        <v>-1166</v>
      </c>
      <c r="C105" s="6">
        <f>B105+C104</f>
        <v>3335.4589285714283</v>
      </c>
      <c r="D105" s="6">
        <f>C105+D104</f>
        <v>8405.419866071428</v>
      </c>
      <c r="E105" s="6">
        <f>D105+E104</f>
        <v>13244.909149508016</v>
      </c>
    </row>
    <row r="106">
      <c r="A106" t="str">
        <v>Aporte valorizado del equipo (ejecutado + planificado con contingencia)</v>
      </c>
      <c r="B106" s="6">
        <f>Supuestos!$F$51*Supuestos!$F$17+Supuestos!$F$52*Supuestos!$F$17*(1+Supuestos!$F$50)</f>
        <v>20180</v>
      </c>
      <c r="C106" s="6">
        <v>0</v>
      </c>
      <c r="D106" s="6">
        <v>0</v>
      </c>
      <c r="E106" s="6">
        <v>0</v>
      </c>
      <c r="F106" s="6">
        <f>SUM(B106:E106)</f>
        <v>20180</v>
      </c>
    </row>
    <row r="107">
      <c r="A107" t="str">
        <v>Costos totales, vista B</v>
      </c>
      <c r="B107" s="6">
        <f>B100+B106</f>
        <v>21346</v>
      </c>
      <c r="C107" s="6">
        <f>C100+C106</f>
        <v>1988.366</v>
      </c>
      <c r="D107" s="6">
        <f>D100+D106</f>
        <v>1988.366</v>
      </c>
      <c r="E107" s="6">
        <f>E100+E106</f>
        <v>1988.366</v>
      </c>
      <c r="F107" s="6">
        <f>SUM(B107:E107)</f>
        <v>27311.098000000005</v>
      </c>
    </row>
    <row r="108">
      <c r="A108" t="str">
        <v>Flujo neto, vista B</v>
      </c>
      <c r="B108" s="6">
        <f>B92-B107</f>
        <v>-21346</v>
      </c>
      <c r="C108" s="6">
        <f>C92-C107</f>
        <v>5041.634</v>
      </c>
      <c r="D108" s="6">
        <f>D92-D107</f>
        <v>6359.759</v>
      </c>
      <c r="E108" s="6">
        <f>E92-E107</f>
        <v>6799.134</v>
      </c>
      <c r="F108" s="6">
        <f>SUM(B108:E108)</f>
        <v>-3145.473</v>
      </c>
    </row>
    <row r="109">
      <c r="A109" t="str">
        <v>Flujo neto acumulado, vista B</v>
      </c>
      <c r="B109" s="6">
        <f>B108</f>
        <v>-21346</v>
      </c>
      <c r="C109" s="6">
        <f>B109+C108</f>
        <v>-16304.366</v>
      </c>
      <c r="D109" s="6">
        <f>C109+D108</f>
        <v>-9944.607</v>
      </c>
      <c r="E109" s="6">
        <f>D109+E108</f>
        <v>-3145.473</v>
      </c>
    </row>
    <row r="110">
      <c r="A110" t="str">
        <v>Flujo descontado, vista B</v>
      </c>
      <c r="B110" s="6">
        <f>B108*B103</f>
        <v>-21346</v>
      </c>
      <c r="C110" s="6">
        <f>C108*C103</f>
        <v>4501.458928571428</v>
      </c>
      <c r="D110" s="6">
        <f>D108*D103</f>
        <v>5069.9609375</v>
      </c>
      <c r="E110" s="6">
        <f>E108*E103</f>
        <v>4839.489283436587</v>
      </c>
      <c r="F110" s="6">
        <f>SUM(B110:E110)</f>
        <v>-6935.090850491984</v>
      </c>
    </row>
    <row r="111">
      <c r="A111" t="str">
        <v>Flujo descontado acumulado, vista B</v>
      </c>
      <c r="B111" s="6">
        <f>B110</f>
        <v>-21346</v>
      </c>
      <c r="C111" s="6">
        <f>B111+C110</f>
        <v>-16844.54107142857</v>
      </c>
      <c r="D111" s="6">
        <f>C111+D110</f>
        <v>-11774.580133928572</v>
      </c>
      <c r="E111" s="6">
        <f>D111+E110</f>
        <v>-6935.090850491984</v>
      </c>
    </row>
    <row r="112">
      <c r="A112" t="str">
        <v>Auxiliar: año de recuperación, vista A</v>
      </c>
      <c r="C112" s="2">
        <f>IF(AND(B102&lt;0,C102&gt;=0),0+(-B102)/C101,"")</f>
        <v>0.23127422577680173</v>
      </c>
      <c r="D112" s="2" t="str">
        <f>IF(AND(C102&lt;0,D102&gt;=0),1+(-C102)/D101,"")</f>
        <v/>
      </c>
      <c r="E112" s="2" t="str">
        <f>IF(AND(D102&lt;0,E102&gt;=0),2+(-D102)/E101,"")</f>
        <v/>
      </c>
    </row>
    <row r="113">
      <c r="A113" t="str">
        <v>Auxiliar: año de recuperación descontado, vista A</v>
      </c>
      <c r="C113" s="2">
        <f>IF(AND(B105&lt;0,C105&gt;=0),0+(-B105)/C104,"")</f>
        <v>0.25902713287001794</v>
      </c>
      <c r="D113" s="2" t="str">
        <f>IF(AND(C105&lt;0,D105&gt;=0),1+(-C105)/D104,"")</f>
        <v/>
      </c>
      <c r="E113" s="2" t="str">
        <f>IF(AND(D105&lt;0,E105&gt;=0),2+(-D105)/E104,"")</f>
        <v/>
      </c>
    </row>
    <row r="114">
      <c r="A114" t="str">
        <v>Auxiliar: año de recuperación, vista B</v>
      </c>
      <c r="C114" s="2" t="str">
        <f>IF(AND(B109&lt;0,C109&gt;=0),0+(-B109)/C108,"")</f>
        <v/>
      </c>
      <c r="D114" s="2" t="str">
        <f>IF(AND(C109&lt;0,D109&gt;=0),1+(-C109)/D108,"")</f>
        <v/>
      </c>
      <c r="E114" s="2" t="str">
        <f>IF(AND(D109&lt;0,E109&gt;=0),2+(-D109)/E108,"")</f>
        <v/>
      </c>
    </row>
    <row r="115">
      <c r="A115" t="str">
        <v>Auxiliar: año de recuperación descontado, vista B</v>
      </c>
      <c r="C115" s="2" t="str">
        <f>IF(AND(B111&lt;0,C111&gt;=0),0+(-B111)/C110,"")</f>
        <v/>
      </c>
      <c r="D115" s="2" t="str">
        <f>IF(AND(C111&lt;0,D111&gt;=0),1+(-C111)/D110,"")</f>
        <v/>
      </c>
      <c r="E115" s="2" t="str">
        <f>IF(AND(D111&lt;0,E111&gt;=0),2+(-D111)/E110,"")</f>
        <v/>
      </c>
    </row>
  </sheetData>
  <ignoredErrors>
    <ignoredError numberStoredAsText="1" sqref="A1:F1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70.83203125" customWidth="1"/>
    <col min="2" max="2" width="7.83203125" customWidth="1"/>
    <col min="3" max="3" width="22.83203125" customWidth="1"/>
    <col min="4" max="4" width="22.83203125" customWidth="1"/>
    <col min="5" max="5" width="22.83203125" customWidth="1"/>
    <col min="6" max="6" width="95.83203125" customWidth="1"/>
  </cols>
  <sheetData>
    <row r="1">
      <c r="A1" t="str">
        <v>Indicadores económicos por vista y escenario (fórmulas sobre la hoja Flujo de caja)</v>
      </c>
    </row>
    <row r="2">
      <c r="A2" t="str">
        <v>Vista A: flujos de CERMAT (decisión vigente; el desarrollo ya ejecutado es costo hundido y el cierre técnico lo aporta el equipo EPE). Vista B: proyecto completo con todas las horas valorizadas a precio de mercado.</v>
      </c>
    </row>
    <row r="4">
      <c r="A4" t="str">
        <v>Indicador</v>
      </c>
      <c r="B4" t="str">
        <v>Vista</v>
      </c>
      <c r="C4" t="str">
        <v>Pesimista</v>
      </c>
      <c r="D4" t="str">
        <v>Base</v>
      </c>
      <c r="E4" t="str">
        <v>Optimista</v>
      </c>
      <c r="F4" t="str">
        <v>Lectura</v>
      </c>
    </row>
    <row r="5">
      <c r="A5" t="str">
        <v>VAN (S/)</v>
      </c>
      <c r="B5" t="str">
        <v>A</v>
      </c>
      <c r="C5" s="6">
        <f>'Flujo de caja'!B21+NPV(Supuestos!$D$5,'Flujo de caja'!C21:E21)</f>
        <v>-8809.261859967199</v>
      </c>
      <c r="D5" s="6">
        <f>'Flujo de caja'!B61+NPV(Supuestos!$E$5,'Flujo de caja'!C61:E61)</f>
        <v>1246.5993903364915</v>
      </c>
      <c r="E5" s="6">
        <f>'Flujo de caja'!B101+NPV(Supuestos!$F$5,'Flujo de caja'!C101:E101)</f>
        <v>13244.909149508016</v>
      </c>
      <c r="F5" t="str">
        <v>VAN &gt; 0: la inversión de CERMAT se recupera con la tasa exigida.</v>
      </c>
    </row>
    <row r="6">
      <c r="A6" t="str">
        <v>TIR</v>
      </c>
      <c r="B6" t="str">
        <v>A</v>
      </c>
      <c r="C6" s="1" t="str">
        <f>IFERROR(IRR('Flujo de caja'!B21:E21),"No calculable")</f>
        <v>No calculable</v>
      </c>
      <c r="D6" s="1">
        <f>IFERROR(IRR('Flujo de caja'!B61:E61),"No calculable")</f>
        <v>0.5351007415268085</v>
      </c>
      <c r="E6" s="1">
        <f>IFERROR(IRR('Flujo de caja'!B101:E101),"No calculable")</f>
        <v>4.5066676597468485</v>
      </c>
      <c r="F6" t="str">
        <v>Alta porque el desembolso inicial de CERMAT es pequeño; leer junto con el VAN.</v>
      </c>
    </row>
    <row r="7">
      <c r="A7" t="str">
        <v>Relación beneficio/costo</v>
      </c>
      <c r="B7" t="str">
        <v>A</v>
      </c>
      <c r="C7" s="2">
        <f>('Flujo de caja'!B12+NPV(Supuestos!$D$5,'Flujo de caja'!C12:E12))/('Flujo de caja'!B20+NPV(Supuestos!$D$5,'Flujo de caja'!C20:E20))</f>
        <v>0.09927271374219226</v>
      </c>
      <c r="D7" s="2">
        <f>('Flujo de caja'!B52+NPV(Supuestos!$E$5,'Flujo de caja'!C52:E52))/('Flujo de caja'!B60+NPV(Supuestos!$E$5,'Flujo de caja'!C60:E60))</f>
        <v>1.1775139384254134</v>
      </c>
      <c r="E7" s="2">
        <f>('Flujo de caja'!B92+NPV(Supuestos!$F$5,'Flujo de caja'!C92:E92))/('Flujo de caja'!B100+NPV(Supuestos!$F$5,'Flujo de caja'!C100:E100))</f>
        <v>3.229137349288589</v>
      </c>
      <c r="F7" t="str">
        <v>Valor actual de beneficios entre valor actual de costos (incluye la inversión).</v>
      </c>
    </row>
    <row r="8">
      <c r="A8" t="str">
        <v>ROI a 3 años (sin descontar)</v>
      </c>
      <c r="B8" t="str">
        <v>A</v>
      </c>
      <c r="C8" s="1">
        <f>('Flujo de caja'!F12-'Flujo de caja'!F20)/'Flujo de caja'!F20</f>
        <v>-0.8961265803508803</v>
      </c>
      <c r="D8" s="1">
        <f>('Flujo de caja'!F52-'Flujo de caja'!F60)/'Flujo de caja'!F60</f>
        <v>0.2361803467742816</v>
      </c>
      <c r="E8" s="1">
        <f>('Flujo de caja'!F92-'Flujo de caja'!F100)/'Flujo de caja'!F100</f>
        <v>2.38876635828031</v>
      </c>
      <c r="F8" t="str">
        <v>(Beneficios − costos) / costos del horizonte.</v>
      </c>
    </row>
    <row r="9">
      <c r="A9" t="str">
        <v>Periodo de recuperación (años)</v>
      </c>
      <c r="B9" t="str">
        <v>A</v>
      </c>
      <c r="C9" s="2" t="str">
        <f>IF(COUNT('Flujo de caja'!C32:E32)=0,"No se recupera en 3 años",MIN('Flujo de caja'!C32:E32))</f>
        <v>No se recupera en 3 años</v>
      </c>
      <c r="D9" s="2">
        <f>IF(COUNT('Flujo de caja'!C72:E72)=0,"No se recupera en 3 años",MIN('Flujo de caja'!C72:E72))</f>
        <v>1.7194947615135527</v>
      </c>
      <c r="E9" s="2">
        <f>IF(COUNT('Flujo de caja'!C112:E112)=0,"No se recupera en 3 años",MIN('Flujo de caja'!C112:E112))</f>
        <v>0.23127422577680173</v>
      </c>
      <c r="F9" t="str">
        <v>Interpolación lineal del flujo acumulado.</v>
      </c>
    </row>
    <row r="10">
      <c r="A10" t="str">
        <v>Periodo de recuperación descontado (años)</v>
      </c>
      <c r="B10" t="str">
        <v>A</v>
      </c>
      <c r="C10" s="2" t="str">
        <f>IF(COUNT('Flujo de caja'!C33:E33)=0,"No se recupera en 3 años",MIN('Flujo de caja'!C33:E33))</f>
        <v>No se recupera en 3 años</v>
      </c>
      <c r="D10" s="2">
        <f>IF(COUNT('Flujo de caja'!C73:E73)=0,"No se recupera en 3 años",MIN('Flujo de caja'!C73:E73))</f>
        <v>1.9355290046461948</v>
      </c>
      <c r="E10" s="2">
        <f>IF(COUNT('Flujo de caja'!C113:E113)=0,"No se recupera en 3 años",MIN('Flujo de caja'!C113:E113))</f>
        <v>0.25902713287001794</v>
      </c>
      <c r="F10" t="str">
        <v>Con flujos descontados a la tasa S01.</v>
      </c>
    </row>
    <row r="11">
      <c r="A11" t="str">
        <v>Inversión inicial (año 0)</v>
      </c>
      <c r="B11" t="str">
        <v>A</v>
      </c>
      <c r="C11" s="6">
        <f>'Flujo de caja'!B20</f>
        <v>1272</v>
      </c>
      <c r="D11" s="6">
        <f>'Flujo de caja'!B60</f>
        <v>1166</v>
      </c>
      <c r="E11" s="6">
        <f>'Flujo de caja'!B100</f>
        <v>1166</v>
      </c>
      <c r="F11" t="str">
        <v>Tiempo del personal de CERMAT y contingencia.</v>
      </c>
    </row>
    <row r="12">
      <c r="A12" t="str">
        <v>VAN si CERMAT tuviera que contratar el cierre técnico (S/)</v>
      </c>
      <c r="B12" t="str">
        <v>A</v>
      </c>
      <c r="C12" s="6">
        <f>'Flujo de caja'!B21+NPV(Supuestos!$D$5,'Flujo de caja'!C21:E21)-Supuestos!$D$52*Supuestos!$D$17*(1+Supuestos!$D$50)</f>
        <v>-13369.261859967199</v>
      </c>
      <c r="D12" s="6">
        <f>'Flujo de caja'!B61+NPV(Supuestos!$E$5,'Flujo de caja'!C61:E61)-Supuestos!$E$52*Supuestos!$E$17*(1+Supuestos!$E$50)</f>
        <v>-2933.4006096635085</v>
      </c>
      <c r="E12" s="6">
        <f>'Flujo de caja'!B101+NPV(Supuestos!$F$5,'Flujo de caja'!C101:E101)-Supuestos!$F$52*Supuestos!$F$17*(1+Supuestos!$F$50)</f>
        <v>9064.909149508016</v>
      </c>
      <c r="F12" t="str">
        <v>Riesgo: el equipo no completa los sprints y CERMAT los paga.</v>
      </c>
    </row>
    <row r="13">
      <c r="A13" t="str">
        <v>VAN (S/)</v>
      </c>
      <c r="B13" t="str">
        <v>B</v>
      </c>
      <c r="C13" s="6">
        <f>'Flujo de caja'!B28+NPV(Supuestos!$D$5,'Flujo de caja'!C28:E28)</f>
        <v>-29369.2618599672</v>
      </c>
      <c r="D13" s="6">
        <f>'Flujo de caja'!B68+NPV(Supuestos!$E$5,'Flujo de caja'!C68:E68)</f>
        <v>-18933.40060966351</v>
      </c>
      <c r="E13" s="6">
        <f>'Flujo de caja'!B108+NPV(Supuestos!$F$5,'Flujo de caja'!C108:E108)</f>
        <v>-6935.090850491984</v>
      </c>
      <c r="F13" t="str">
        <v>Rentabilidad del proyecto completo valorizado a precio de mercado.</v>
      </c>
    </row>
    <row r="14">
      <c r="A14" t="str">
        <v>TIR</v>
      </c>
      <c r="B14" t="str">
        <v>B</v>
      </c>
      <c r="C14" s="1" t="str">
        <f>IFERROR(IRR('Flujo de caja'!B28:E28,-0.5),"No calculable")</f>
        <v>No calculable</v>
      </c>
      <c r="D14" s="1">
        <f>IFERROR(IRR('Flujo de caja'!B68:E68,-0.5),"No calculable")</f>
        <v>-0.5236680120027816</v>
      </c>
      <c r="E14" s="1">
        <f>IFERROR(IRR('Flujo de caja'!B108:E108,-0.5),"No calculable")</f>
        <v>-0.07241880994042763</v>
      </c>
      <c r="F14" t="str">
        <v>Valor inicial −50 % para que la iteración converja a la raíz negativa.</v>
      </c>
    </row>
    <row r="15">
      <c r="A15" t="str">
        <v>Relación beneficio/costo</v>
      </c>
      <c r="B15" t="str">
        <v>B</v>
      </c>
      <c r="C15" s="2">
        <f>('Flujo de caja'!B12+NPV(Supuestos!$D$5,'Flujo de caja'!C12:E12))/('Flujo de caja'!B27+NPV(Supuestos!$D$5,'Flujo de caja'!C27:E27))</f>
        <v>0.032000602132665076</v>
      </c>
      <c r="D15" s="2">
        <f>('Flujo de caja'!B52+NPV(Supuestos!$E$5,'Flujo de caja'!C52:E52))/('Flujo de caja'!B67+NPV(Supuestos!$E$5,'Flujo de caja'!C67:E67))</f>
        <v>0.3039841855615035</v>
      </c>
      <c r="E15" s="2">
        <f>('Flujo de caja'!B92+NPV(Supuestos!$F$5,'Flujo de caja'!C92:E92))/('Flujo de caja'!B107+NPV(Supuestos!$F$5,'Flujo de caja'!C107:E107))</f>
        <v>0.7345086407658503</v>
      </c>
      <c r="F15" t="str">
        <v/>
      </c>
    </row>
    <row r="16">
      <c r="A16" t="str">
        <v>ROI a 3 años (sin descontar)</v>
      </c>
      <c r="B16" t="str">
        <v>B</v>
      </c>
      <c r="C16" s="1">
        <f>('Flujo de caja'!F12-'Flujo de caja'!F27)/'Flujo de caja'!F27</f>
        <v>-0.961921307856429</v>
      </c>
      <c r="D16" s="1">
        <f>('Flujo de caja'!F52-'Flujo de caja'!F67)/'Flujo de caja'!F67</f>
        <v>-0.6342021974640796</v>
      </c>
      <c r="E16" s="1">
        <f>('Flujo de caja'!F92-'Flujo de caja'!F107)/'Flujo de caja'!F107</f>
        <v>-0.11517197148206948</v>
      </c>
      <c r="F16" t="str">
        <v/>
      </c>
    </row>
    <row r="17">
      <c r="A17" t="str">
        <v>Periodo de recuperación (años)</v>
      </c>
      <c r="B17" t="str">
        <v>B</v>
      </c>
      <c r="C17" s="2" t="str">
        <f>IF(COUNT('Flujo de caja'!C34:E34)=0,"No se recupera en 3 años",MIN('Flujo de caja'!C34:E34))</f>
        <v>No se recupera en 3 años</v>
      </c>
      <c r="D17" s="2" t="str">
        <f>IF(COUNT('Flujo de caja'!C74:E74)=0,"No se recupera en 3 años",MIN('Flujo de caja'!C74:E74))</f>
        <v>No se recupera en 3 años</v>
      </c>
      <c r="E17" s="2" t="str">
        <f>IF(COUNT('Flujo de caja'!C114:E114)=0,"No se recupera en 3 años",MIN('Flujo de caja'!C114:E114))</f>
        <v>No se recupera en 3 años</v>
      </c>
      <c r="F17" t="str">
        <v/>
      </c>
    </row>
    <row r="18">
      <c r="A18" t="str">
        <v>Periodo de recuperación descontado (años)</v>
      </c>
      <c r="B18" t="str">
        <v>B</v>
      </c>
      <c r="C18" s="2" t="str">
        <f>IF(COUNT('Flujo de caja'!C35:E35)=0,"No se recupera en 3 años",MIN('Flujo de caja'!C35:E35))</f>
        <v>No se recupera en 3 años</v>
      </c>
      <c r="D18" s="2" t="str">
        <f>IF(COUNT('Flujo de caja'!C75:E75)=0,"No se recupera en 3 años",MIN('Flujo de caja'!C75:E75))</f>
        <v>No se recupera en 3 años</v>
      </c>
      <c r="E18" s="2" t="str">
        <f>IF(COUNT('Flujo de caja'!C115:E115)=0,"No se recupera en 3 años",MIN('Flujo de caja'!C115:E115))</f>
        <v>No se recupera en 3 años</v>
      </c>
      <c r="F18" t="str">
        <v/>
      </c>
    </row>
    <row r="19">
      <c r="A19" t="str">
        <v>Inversión inicial (año 0)</v>
      </c>
      <c r="B19" t="str">
        <v>B</v>
      </c>
      <c r="C19" s="6">
        <f>'Flujo de caja'!B27</f>
        <v>21832</v>
      </c>
      <c r="D19" s="6">
        <f>'Flujo de caja'!B67</f>
        <v>21346</v>
      </c>
      <c r="E19" s="6">
        <f>'Flujo de caja'!B107</f>
        <v>21346</v>
      </c>
      <c r="F19" t="str">
        <v>Igual al presupuesto total del proyecto (BAC) en el escenario base.</v>
      </c>
    </row>
    <row r="21">
      <c r="A21" t="str">
        <v>Puntos de equilibrio (cada escenario con sus propios supuestos)</v>
      </c>
    </row>
    <row r="22">
      <c r="A22" t="str">
        <v>Beneficio anual por cada matrícula por ciclo adicional (adopción 100 %)</v>
      </c>
      <c r="B22" t="str">
        <v/>
      </c>
      <c r="C22" s="8">
        <f>Supuestos!$D$9*(Supuestos!$D$19/60*Supuestos!$D$14+Supuestos!$D$20/60*Supuestos!$D$15)+Supuestos!$D$9*Supuestos!$D$21*Supuestos!$D$22/60*Supuestos!$D$14+Supuestos!$D$26*Supuestos!$D$29*Supuestos!$D$27/60*Supuestos!$D$28*Supuestos!$D$14+Supuestos!$D$9*Supuestos!$D$31*Supuestos!$D$36</f>
        <v>17.083333333333332</v>
      </c>
      <c r="D22" s="8">
        <f>Supuestos!$E$9*(Supuestos!$E$19/60*Supuestos!$E$14+Supuestos!$E$20/60*Supuestos!$E$15)+Supuestos!$E$9*Supuestos!$E$21*Supuestos!$E$22/60*Supuestos!$E$14+Supuestos!$E$26*Supuestos!$E$29*Supuestos!$E$27/60*Supuestos!$E$28*Supuestos!$E$14+Supuestos!$E$9*Supuestos!$E$31*Supuestos!$E$36</f>
        <v>34.41666666666667</v>
      </c>
      <c r="E22" s="8">
        <f>Supuestos!$F$9*(Supuestos!$F$19/60*Supuestos!$F$14+Supuestos!$F$20/60*Supuestos!$F$15)+Supuestos!$F$9*Supuestos!$F$21*Supuestos!$F$22/60*Supuestos!$F$14+Supuestos!$F$26*Supuestos!$F$29*Supuestos!$F$27/60*Supuestos!$F$28*Supuestos!$F$14+Supuestos!$F$9*Supuestos!$F$31*Supuestos!$F$36</f>
        <v>46.75</v>
      </c>
    </row>
    <row r="23">
      <c r="A23" t="str">
        <v>Suma de la adopción descontada (a1/(1+i) + a2/(1+i)^2 + a3/(1+i)^3)</v>
      </c>
      <c r="B23" t="str">
        <v/>
      </c>
      <c r="C23" s="9">
        <f>Supuestos!$D$10/(1+Supuestos!$D$5)+Supuestos!$D$11/(1+Supuestos!$D$5)^2+Supuestos!$D$12/(1+Supuestos!$D$5)^3</f>
        <v>0.9426248177842564</v>
      </c>
      <c r="D23" s="9">
        <f>Supuestos!$E$10/(1+Supuestos!$E$5)+Supuestos!$E$11/(1+Supuestos!$E$5)^2+Supuestos!$E$12/(1+Supuestos!$E$5)^3</f>
        <v>1.814071610787172</v>
      </c>
      <c r="E23" s="9">
        <f>Supuestos!$F$10/(1+Supuestos!$F$5)+Supuestos!$F$11/(1+Supuestos!$F$5)^2+Supuestos!$F$12/(1+Supuestos!$F$5)^3</f>
        <v>2.1834001457725942</v>
      </c>
    </row>
    <row r="24">
      <c r="A24" t="str">
        <v>Matrículas por ciclo para VAN = 0</v>
      </c>
      <c r="B24" t="str">
        <v>A</v>
      </c>
      <c r="C24" s="5">
        <f>Supuestos!$D$8-C5/(C22*C23)</f>
        <v>587.0512754886447</v>
      </c>
      <c r="D24" s="5">
        <f>Supuestos!$E$8-D5/(D22*D23)</f>
        <v>40.03342022719767</v>
      </c>
      <c r="E24" s="5">
        <f>Supuestos!$F$8-E5/(E22*E23)</f>
        <v>-39.75796728964144</v>
      </c>
      <c r="F24" t="str">
        <v>NPV es lineal en el volumen: V* = V − VAN / (u × suma de adopción descontada).</v>
      </c>
    </row>
    <row r="25">
      <c r="A25" t="str">
        <v>Matrículas por ciclo para VAN = 0</v>
      </c>
      <c r="B25" t="str">
        <v>B</v>
      </c>
      <c r="C25" s="5">
        <f>Supuestos!$D$8-C13/(C22*C23)</f>
        <v>1863.8182058893735</v>
      </c>
      <c r="D25" s="5">
        <f>Supuestos!$E$8-D13/(D22*D23)</f>
        <v>363.2531995232476</v>
      </c>
      <c r="E25" s="5">
        <f>Supuestos!$F$8-E13/(E22*E23)</f>
        <v>157.94182440747483</v>
      </c>
    </row>
    <row r="26">
      <c r="A26" t="str">
        <v>Beneficio anual con adopción de 100 %</v>
      </c>
      <c r="B26" t="str">
        <v/>
      </c>
      <c r="C26" s="6">
        <f>(Supuestos!$D$9*Supuestos!$D$8*(Supuestos!$D$19/60*Supuestos!$D$14+Supuestos!$D$20/60*Supuestos!$D$15))+(Supuestos!$D$9*Supuestos!$D$8*Supuestos!$D$21*Supuestos!$D$22/60*Supuestos!$D$14+Supuestos!$D$23*12*Supuestos!$D$14)+(Supuestos!$D$24/60*Supuestos!$D$25*Supuestos!$D$14+Supuestos!$D$8*Supuestos!$D$26*Supuestos!$D$29*Supuestos!$D$27/60*Supuestos!$D$28*Supuestos!$D$14)+(Supuestos!$D$9*Supuestos!$D$31*Supuestos!$D$32*(Supuestos!$D$33+Supuestos!$D$34*Supuestos!$D$35))+(Supuestos!$D$8*Supuestos!$D$9*Supuestos!$D$31*Supuestos!$D$36)</f>
        <v>1030</v>
      </c>
      <c r="D26" s="6">
        <f>(Supuestos!$E$9*Supuestos!$E$8*(Supuestos!$E$19/60*Supuestos!$E$14+Supuestos!$E$20/60*Supuestos!$E$15))+(Supuestos!$E$9*Supuestos!$E$8*Supuestos!$E$21*Supuestos!$E$22/60*Supuestos!$E$14+Supuestos!$E$23*12*Supuestos!$E$14)+(Supuestos!$E$24/60*Supuestos!$E$25*Supuestos!$E$14+Supuestos!$E$8*Supuestos!$E$26*Supuestos!$E$29*Supuestos!$E$27/60*Supuestos!$E$28*Supuestos!$E$14)+(Supuestos!$E$9*Supuestos!$E$31*Supuestos!$E$32*(Supuestos!$E$33+Supuestos!$E$34*Supuestos!$E$35))+(Supuestos!$E$8*Supuestos!$E$9*Supuestos!$E$31*Supuestos!$E$36)</f>
        <v>4558.333333333333</v>
      </c>
      <c r="E26" s="6">
        <f>(Supuestos!$F$9*Supuestos!$F$8*(Supuestos!$F$19/60*Supuestos!$F$14+Supuestos!$F$20/60*Supuestos!$F$15))+(Supuestos!$F$9*Supuestos!$F$8*Supuestos!$F$21*Supuestos!$F$22/60*Supuestos!$F$14+Supuestos!$F$23*12*Supuestos!$F$14)+(Supuestos!$F$24/60*Supuestos!$F$25*Supuestos!$F$14+Supuestos!$F$8*Supuestos!$F$26*Supuestos!$F$29*Supuestos!$F$27/60*Supuestos!$F$28*Supuestos!$F$14)+(Supuestos!$F$9*Supuestos!$F$31*Supuestos!$F$32*(Supuestos!$F$33+Supuestos!$F$34*Supuestos!$F$35))+(Supuestos!$F$8*Supuestos!$F$9*Supuestos!$F$31*Supuestos!$F$36)</f>
        <v>8787.5</v>
      </c>
    </row>
    <row r="27">
      <c r="A27" t="str">
        <v>Factor de anualidad a 3 años</v>
      </c>
      <c r="B27" t="str">
        <v/>
      </c>
      <c r="C27" s="9">
        <f>1/(1+Supuestos!$D$5)+1/(1+Supuestos!$D$5)^2+1/(1+Supuestos!$D$5)^3</f>
        <v>2.401831268221574</v>
      </c>
      <c r="D27" s="9">
        <f>1/(1+Supuestos!$E$5)+1/(1+Supuestos!$E$5)^2+1/(1+Supuestos!$E$5)^3</f>
        <v>2.401831268221574</v>
      </c>
      <c r="E27" s="9">
        <f>1/(1+Supuestos!$F$5)+1/(1+Supuestos!$F$5)^2+1/(1+Supuestos!$F$5)^3</f>
        <v>2.401831268221574</v>
      </c>
    </row>
    <row r="28">
      <c r="A28" t="str">
        <v>Adopción constante para VAN = 0</v>
      </c>
      <c r="B28" t="str">
        <v>A</v>
      </c>
      <c r="C28" s="1">
        <f>('Flujo de caja'!B20+'Flujo de caja'!C18*C27)/(C26*C27)</f>
        <v>3.9533610711375657</v>
      </c>
      <c r="D28" s="1">
        <f>('Flujo de caja'!B60+'Flujo de caja'!C58*D27)/(D26*D27)</f>
        <v>0.641424989689006</v>
      </c>
      <c r="E28" s="1">
        <f>('Flujo de caja'!B100+'Flujo de caja'!C98*E27)/(E26*E27)</f>
        <v>0.281516803565563</v>
      </c>
      <c r="F28" t="str">
        <v>α* = (inversión + VA de costos) / VA de beneficios con adopción 100 %. Un valor &gt; 100 % es inalcanzable.</v>
      </c>
    </row>
    <row r="29">
      <c r="A29" t="str">
        <v>Adopción constante para VAN = 0</v>
      </c>
      <c r="B29" t="str">
        <v>B</v>
      </c>
      <c r="C29" s="1">
        <f>('Flujo de caja'!B27+'Flujo de caja'!C18*C27)/(C26*C27)</f>
        <v>12.264171789878793</v>
      </c>
      <c r="D29" s="1">
        <f>('Flujo de caja'!B67+'Flujo de caja'!C58*D27)/(D26*D27)</f>
        <v>2.484625522272008</v>
      </c>
      <c r="E29" s="1">
        <f>('Flujo de caja'!B107+'Flujo de caja'!C98*E27)/(E26*E27)</f>
        <v>1.2376388437010795</v>
      </c>
    </row>
  </sheetData>
  <ignoredErrors>
    <ignoredError numberStoredAsText="1" sqref="A1:F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cols>
    <col min="1" max="1" width="62.83203125" customWidth="1"/>
    <col min="2" max="2" width="14.83203125" customWidth="1"/>
    <col min="3" max="3" width="16.83203125" customWidth="1"/>
    <col min="4" max="4" width="12.83203125" customWidth="1"/>
    <col min="5" max="5" width="14.83203125" customWidth="1"/>
    <col min="6" max="6" width="12.83203125" customWidth="1"/>
    <col min="7" max="7" width="12.83203125" customWidth="1"/>
    <col min="8" max="8" width="12.83203125" customWidth="1"/>
    <col min="9" max="9" width="14.83203125" customWidth="1"/>
    <col min="10" max="10" width="12.83203125" customWidth="1"/>
    <col min="11" max="11" width="12.83203125" customWidth="1"/>
    <col min="12" max="12" width="13.83203125" customWidth="1"/>
  </cols>
  <sheetData>
    <row r="1">
      <c r="A1" t="str">
        <v>Sensibilidad de una variable a la vez sobre el VAN de la vista A (todos los demás supuestos en el escenario base)</v>
      </c>
    </row>
    <row r="3">
      <c r="A3" t="str">
        <v>Variable</v>
      </c>
      <c r="B3" t="str">
        <v>Valor bajo</v>
      </c>
      <c r="C3" t="str">
        <v>Valor alto</v>
      </c>
      <c r="D3" t="str">
        <v>B100 bajo</v>
      </c>
      <c r="E3" t="str">
        <v>Costos anuales bajo</v>
      </c>
      <c r="F3" t="str">
        <v>Inversión bajo</v>
      </c>
      <c r="G3" t="str">
        <v>VAN bajo</v>
      </c>
      <c r="H3" t="str">
        <v>B100 alto</v>
      </c>
      <c r="I3" t="str">
        <v>Costos anuales alto</v>
      </c>
      <c r="J3" t="str">
        <v>Inversión alto</v>
      </c>
      <c r="K3" t="str">
        <v>VAN alto</v>
      </c>
      <c r="L3" t="str">
        <v>Rango del VAN</v>
      </c>
    </row>
    <row r="4">
      <c r="A4" t="str">
        <v>Matrículas por ciclo (S03)</v>
      </c>
      <c r="B4" t="str">
        <v>40</v>
      </c>
      <c r="C4" t="str">
        <v>90</v>
      </c>
      <c r="D4" s="6">
        <f>(Supuestos!$E$9*Supuestos!$D$8*(Supuestos!$E$19/60*Supuestos!$E$14+Supuestos!$E$20/60*Supuestos!$E$15))+(Supuestos!$E$9*Supuestos!$D$8*Supuestos!$E$21*Supuestos!$E$22/60*Supuestos!$E$14+Supuestos!$E$23*12*Supuestos!$E$14)+(Supuestos!$E$24/60*Supuestos!$E$25*Supuestos!$E$14+Supuestos!$D$8*Supuestos!$E$26*Supuestos!$E$29*Supuestos!$E$27/60*Supuestos!$E$28*Supuestos!$E$14)+(Supuestos!$E$9*Supuestos!$E$31*Supuestos!$E$32*(Supuestos!$E$33+Supuestos!$E$34*Supuestos!$E$35))+(Supuestos!$D$8*Supuestos!$E$9*Supuestos!$E$31*Supuestos!$E$36)</f>
        <v>3870</v>
      </c>
      <c r="E4" s="6">
        <f>(Supuestos!$E$38*Supuestos!$E$39*12*Supuestos!$E$6)+(Supuestos!$E$40*Supuestos!$E$6)+(Supuestos!$E$41*Supuestos!$E$6)+(Supuestos!$E$42*12*Supuestos!$E$17)+(Supuestos!$E$43*12*Supuestos!$E$17)</f>
        <v>2438.366</v>
      </c>
      <c r="F4" s="6">
        <f>(Supuestos!$E$45*Supuestos!$E$15+Supuestos!$E$46*Supuestos!$E$15+Supuestos!$E$47*Supuestos!$E$14+Supuestos!$E$48*Supuestos!$E$16+Supuestos!$E$49*Supuestos!$E$17)*(1+Supuestos!$E$50)</f>
        <v>1166</v>
      </c>
      <c r="G4" s="6">
        <f>-F4+(Supuestos!$E$10*D4-E4)/(1+Supuestos!$E$5)+(Supuestos!$E$11*D4-E4)/(1+Supuestos!$E$5)^2+(Supuestos!$E$12*D4-E4)/(1+Supuestos!$E$5)^3</f>
        <v>-2.0865684220117373</v>
      </c>
      <c r="H4" s="6">
        <f>(Supuestos!$E$9*Supuestos!$F$8*(Supuestos!$E$19/60*Supuestos!$E$14+Supuestos!$E$20/60*Supuestos!$E$15))+(Supuestos!$E$9*Supuestos!$F$8*Supuestos!$E$21*Supuestos!$E$22/60*Supuestos!$E$14+Supuestos!$E$23*12*Supuestos!$E$14)+(Supuestos!$E$24/60*Supuestos!$E$25*Supuestos!$E$14+Supuestos!$F$8*Supuestos!$E$26*Supuestos!$E$29*Supuestos!$E$27/60*Supuestos!$E$28*Supuestos!$E$14)+(Supuestos!$E$9*Supuestos!$E$31*Supuestos!$E$32*(Supuestos!$E$33+Supuestos!$E$34*Supuestos!$E$35))+(Supuestos!$F$8*Supuestos!$E$9*Supuestos!$E$31*Supuestos!$E$36)</f>
        <v>5590.833333333333</v>
      </c>
      <c r="I4" s="6">
        <f>(Supuestos!$E$38*Supuestos!$E$39*12*Supuestos!$E$6)+(Supuestos!$E$40*Supuestos!$E$6)+(Supuestos!$E$41*Supuestos!$E$6)+(Supuestos!$E$42*12*Supuestos!$E$17)+(Supuestos!$E$43*12*Supuestos!$E$17)</f>
        <v>2438.366</v>
      </c>
      <c r="J4" s="6">
        <f>(Supuestos!$E$45*Supuestos!$E$15+Supuestos!$E$46*Supuestos!$E$15+Supuestos!$E$47*Supuestos!$E$14+Supuestos!$E$48*Supuestos!$E$16+Supuestos!$E$49*Supuestos!$E$17)*(1+Supuestos!$E$50)</f>
        <v>1166</v>
      </c>
      <c r="K4" s="6">
        <f>-J4+(Supuestos!$E$10*H4-I4)/(1+Supuestos!$E$5)+(Supuestos!$E$11*H4-I4)/(1+Supuestos!$E$5)^2+(Supuestos!$E$12*H4-I4)/(1+Supuestos!$E$5)^3</f>
        <v>3119.628328474246</v>
      </c>
      <c r="L4" s="6">
        <f>ABS(K4-G4)</f>
        <v>3121.7148968962574</v>
      </c>
    </row>
    <row r="5">
      <c r="A5" t="str">
        <v>Adopción años 1 a 3 (S05 a S07)</v>
      </c>
      <c r="B5" t="str">
        <v>30/40/50 %</v>
      </c>
      <c r="C5" t="str">
        <v>80/95/100 %</v>
      </c>
      <c r="D5" s="6">
        <f>(Supuestos!$E$9*Supuestos!$E$8*(Supuestos!$E$19/60*Supuestos!$E$14+Supuestos!$E$20/60*Supuestos!$E$15))+(Supuestos!$E$9*Supuestos!$E$8*Supuestos!$E$21*Supuestos!$E$22/60*Supuestos!$E$14+Supuestos!$E$23*12*Supuestos!$E$14)+(Supuestos!$E$24/60*Supuestos!$E$25*Supuestos!$E$14+Supuestos!$E$8*Supuestos!$E$26*Supuestos!$E$29*Supuestos!$E$27/60*Supuestos!$E$28*Supuestos!$E$14)+(Supuestos!$E$9*Supuestos!$E$31*Supuestos!$E$32*(Supuestos!$E$33+Supuestos!$E$34*Supuestos!$E$35))+(Supuestos!$E$8*Supuestos!$E$9*Supuestos!$E$31*Supuestos!$E$36)</f>
        <v>4558.333333333333</v>
      </c>
      <c r="E5" s="6">
        <f>(Supuestos!$E$38*Supuestos!$E$39*12*Supuestos!$E$6)+(Supuestos!$E$40*Supuestos!$E$6)+(Supuestos!$E$41*Supuestos!$E$6)+(Supuestos!$E$42*12*Supuestos!$E$17)+(Supuestos!$E$43*12*Supuestos!$E$17)</f>
        <v>2438.366</v>
      </c>
      <c r="F5" s="6">
        <f>(Supuestos!$E$45*Supuestos!$E$15+Supuestos!$E$46*Supuestos!$E$15+Supuestos!$E$47*Supuestos!$E$14+Supuestos!$E$48*Supuestos!$E$16+Supuestos!$E$49*Supuestos!$E$17)*(1+Supuestos!$E$50)</f>
        <v>1166</v>
      </c>
      <c r="G5" s="6">
        <f>-F5+(Supuestos!$D$10*D5-E5)/(1+Supuestos!$E$5)+(Supuestos!$D$11*D5-E5)/(1+Supuestos!$E$5)^2+(Supuestos!$D$12*D5-E5)/(1+Supuestos!$E$5)^3</f>
        <v>-2725.745574435131</v>
      </c>
      <c r="H5" s="6">
        <f>(Supuestos!$E$9*Supuestos!$E$8*(Supuestos!$E$19/60*Supuestos!$E$14+Supuestos!$E$20/60*Supuestos!$E$15))+(Supuestos!$E$9*Supuestos!$E$8*Supuestos!$E$21*Supuestos!$E$22/60*Supuestos!$E$14+Supuestos!$E$23*12*Supuestos!$E$14)+(Supuestos!$E$24/60*Supuestos!$E$25*Supuestos!$E$14+Supuestos!$E$8*Supuestos!$E$26*Supuestos!$E$29*Supuestos!$E$27/60*Supuestos!$E$28*Supuestos!$E$14)+(Supuestos!$E$9*Supuestos!$E$31*Supuestos!$E$32*(Supuestos!$E$33+Supuestos!$E$34*Supuestos!$E$35))+(Supuestos!$E$8*Supuestos!$E$9*Supuestos!$E$31*Supuestos!$E$36)</f>
        <v>4558.333333333333</v>
      </c>
      <c r="I5" s="6">
        <f>(Supuestos!$E$38*Supuestos!$E$39*12*Supuestos!$E$6)+(Supuestos!$E$40*Supuestos!$E$6)+(Supuestos!$E$41*Supuestos!$E$6)+(Supuestos!$E$42*12*Supuestos!$E$17)+(Supuestos!$E$43*12*Supuestos!$E$17)</f>
        <v>2438.366</v>
      </c>
      <c r="J5" s="6">
        <f>(Supuestos!$E$45*Supuestos!$E$15+Supuestos!$E$46*Supuestos!$E$15+Supuestos!$E$47*Supuestos!$E$14+Supuestos!$E$48*Supuestos!$E$16+Supuestos!$E$49*Supuestos!$E$17)*(1+Supuestos!$E$50)</f>
        <v>1166</v>
      </c>
      <c r="K5" s="6">
        <f>-J5+(Supuestos!$F$10*H5-I5)/(1+Supuestos!$E$5)+(Supuestos!$F$11*H5-I5)/(1+Supuestos!$E$5)^2+(Supuestos!$F$12*H5-I5)/(1+Supuestos!$E$5)^3</f>
        <v>2930.121962311709</v>
      </c>
      <c r="L5" s="6">
        <f>ABS(K5-G5)</f>
        <v>5655.86753674684</v>
      </c>
    </row>
    <row r="6">
      <c r="A6" t="str">
        <v>Minutos ahorrados por matrícula (S12 y S13)</v>
      </c>
      <c r="B6" t="str">
        <v>15 y 3 min</v>
      </c>
      <c r="C6" t="str">
        <v>30 y 5 min</v>
      </c>
      <c r="D6" s="6">
        <f>(Supuestos!$E$9*Supuestos!$E$8*(Supuestos!$D$19/60*Supuestos!$E$14+Supuestos!$D$20/60*Supuestos!$E$15))+(Supuestos!$E$9*Supuestos!$E$8*Supuestos!$E$21*Supuestos!$E$22/60*Supuestos!$E$14+Supuestos!$E$23*12*Supuestos!$E$14)+(Supuestos!$E$24/60*Supuestos!$E$25*Supuestos!$E$14+Supuestos!$E$8*Supuestos!$E$26*Supuestos!$E$29*Supuestos!$E$27/60*Supuestos!$E$28*Supuestos!$E$14)+(Supuestos!$E$9*Supuestos!$E$31*Supuestos!$E$32*(Supuestos!$E$33+Supuestos!$E$34*Supuestos!$E$35))+(Supuestos!$E$8*Supuestos!$E$9*Supuestos!$E$31*Supuestos!$E$36)</f>
        <v>4123.333333333333</v>
      </c>
      <c r="E6" s="6">
        <f>(Supuestos!$E$38*Supuestos!$E$39*12*Supuestos!$E$6)+(Supuestos!$E$40*Supuestos!$E$6)+(Supuestos!$E$41*Supuestos!$E$6)+(Supuestos!$E$42*12*Supuestos!$E$17)+(Supuestos!$E$43*12*Supuestos!$E$17)</f>
        <v>2438.366</v>
      </c>
      <c r="F6" s="6">
        <f>(Supuestos!$E$45*Supuestos!$E$15+Supuestos!$E$46*Supuestos!$E$15+Supuestos!$E$47*Supuestos!$E$14+Supuestos!$E$48*Supuestos!$E$16+Supuestos!$E$49*Supuestos!$E$17)*(1+Supuestos!$E$50)</f>
        <v>1166</v>
      </c>
      <c r="G6" s="6">
        <f>-F6+(Supuestos!$E$10*D6-E6)/(1+Supuestos!$E$5)+(Supuestos!$E$11*D6-E6)/(1+Supuestos!$E$5)^2+(Supuestos!$E$12*D6-E6)/(1+Supuestos!$E$5)^3</f>
        <v>457.478239644071</v>
      </c>
      <c r="H6" s="6">
        <f>(Supuestos!$E$9*Supuestos!$E$8*(Supuestos!$F$19/60*Supuestos!$E$14+Supuestos!$F$20/60*Supuestos!$E$15))+(Supuestos!$E$9*Supuestos!$E$8*Supuestos!$E$21*Supuestos!$E$22/60*Supuestos!$E$14+Supuestos!$E$23*12*Supuestos!$E$14)+(Supuestos!$E$24/60*Supuestos!$E$25*Supuestos!$E$14+Supuestos!$E$8*Supuestos!$E$26*Supuestos!$E$29*Supuestos!$E$27/60*Supuestos!$E$28*Supuestos!$E$14)+(Supuestos!$E$9*Supuestos!$E$31*Supuestos!$E$32*(Supuestos!$E$33+Supuestos!$E$34*Supuestos!$E$35))+(Supuestos!$E$8*Supuestos!$E$9*Supuestos!$E$31*Supuestos!$E$36)</f>
        <v>4753.333333333333</v>
      </c>
      <c r="I6" s="6">
        <f>(Supuestos!$E$38*Supuestos!$E$39*12*Supuestos!$E$6)+(Supuestos!$E$40*Supuestos!$E$6)+(Supuestos!$E$41*Supuestos!$E$6)+(Supuestos!$E$42*12*Supuestos!$E$17)+(Supuestos!$E$43*12*Supuestos!$E$17)</f>
        <v>2438.366</v>
      </c>
      <c r="J6" s="6">
        <f>(Supuestos!$E$45*Supuestos!$E$15+Supuestos!$E$46*Supuestos!$E$15+Supuestos!$E$47*Supuestos!$E$14+Supuestos!$E$48*Supuestos!$E$16+Supuestos!$E$49*Supuestos!$E$17)*(1+Supuestos!$E$50)</f>
        <v>1166</v>
      </c>
      <c r="K6" s="6">
        <f>-J6+(Supuestos!$E$10*H6-I6)/(1+Supuestos!$E$5)+(Supuestos!$E$11*H6-I6)/(1+Supuestos!$E$5)^2+(Supuestos!$E$12*H6-I6)/(1+Supuestos!$E$5)^3</f>
        <v>1600.343354439989</v>
      </c>
      <c r="L6" s="6">
        <f>ABS(K6-G6)</f>
        <v>1142.865114795918</v>
      </c>
    </row>
    <row r="7">
      <c r="A7" t="str">
        <v>Captación en línea y retención (S25 y S26)</v>
      </c>
      <c r="B7" t="str">
        <v>0 y 0</v>
      </c>
      <c r="C7" t="str">
        <v>4 y 2 por ciclo</v>
      </c>
      <c r="D7" s="6">
        <f>(Supuestos!$E$9*Supuestos!$E$8*(Supuestos!$E$19/60*Supuestos!$E$14+Supuestos!$E$20/60*Supuestos!$E$15))+(Supuestos!$E$9*Supuestos!$E$8*Supuestos!$E$21*Supuestos!$E$22/60*Supuestos!$E$14+Supuestos!$E$23*12*Supuestos!$E$14)+(Supuestos!$E$24/60*Supuestos!$E$25*Supuestos!$E$14+Supuestos!$E$8*Supuestos!$E$26*Supuestos!$E$29*Supuestos!$E$27/60*Supuestos!$E$28*Supuestos!$E$14)+(Supuestos!$E$9*Supuestos!$E$31*Supuestos!$E$32*(Supuestos!$D$33+Supuestos!$D$34*Supuestos!$E$35))+(Supuestos!$E$8*Supuestos!$E$9*Supuestos!$E$31*Supuestos!$E$36)</f>
        <v>2758.333333333333</v>
      </c>
      <c r="E7" s="6">
        <f>(Supuestos!$E$38*Supuestos!$E$39*12*Supuestos!$E$6)+(Supuestos!$E$40*Supuestos!$E$6)+(Supuestos!$E$41*Supuestos!$E$6)+(Supuestos!$E$42*12*Supuestos!$E$17)+(Supuestos!$E$43*12*Supuestos!$E$17)</f>
        <v>2438.366</v>
      </c>
      <c r="F7" s="6">
        <f>(Supuestos!$E$45*Supuestos!$E$15+Supuestos!$E$46*Supuestos!$E$15+Supuestos!$E$47*Supuestos!$E$14+Supuestos!$E$48*Supuestos!$E$16+Supuestos!$E$49*Supuestos!$E$17)*(1+Supuestos!$E$50)</f>
        <v>1166</v>
      </c>
      <c r="G7" s="6">
        <f>-F7+(Supuestos!$E$10*D7-E7)/(1+Supuestos!$E$5)+(Supuestos!$E$11*D7-E7)/(1+Supuestos!$E$5)^2+(Supuestos!$E$12*D7-E7)/(1+Supuestos!$E$5)^3</f>
        <v>-2018.729509080418</v>
      </c>
      <c r="H7" s="6">
        <f>(Supuestos!$E$9*Supuestos!$E$8*(Supuestos!$E$19/60*Supuestos!$E$14+Supuestos!$E$20/60*Supuestos!$E$15))+(Supuestos!$E$9*Supuestos!$E$8*Supuestos!$E$21*Supuestos!$E$22/60*Supuestos!$E$14+Supuestos!$E$23*12*Supuestos!$E$14)+(Supuestos!$E$24/60*Supuestos!$E$25*Supuestos!$E$14+Supuestos!$E$8*Supuestos!$E$26*Supuestos!$E$29*Supuestos!$E$27/60*Supuestos!$E$28*Supuestos!$E$14)+(Supuestos!$E$9*Supuestos!$E$31*Supuestos!$E$32*(Supuestos!$F$33+Supuestos!$F$34*Supuestos!$E$35))+(Supuestos!$E$8*Supuestos!$E$9*Supuestos!$E$31*Supuestos!$E$36)</f>
        <v>6358.333333333333</v>
      </c>
      <c r="I7" s="6">
        <f>(Supuestos!$E$38*Supuestos!$E$39*12*Supuestos!$E$6)+(Supuestos!$E$40*Supuestos!$E$6)+(Supuestos!$E$41*Supuestos!$E$6)+(Supuestos!$E$42*12*Supuestos!$E$17)+(Supuestos!$E$43*12*Supuestos!$E$17)</f>
        <v>2438.366</v>
      </c>
      <c r="J7" s="6">
        <f>(Supuestos!$E$45*Supuestos!$E$15+Supuestos!$E$46*Supuestos!$E$15+Supuestos!$E$47*Supuestos!$E$14+Supuestos!$E$48*Supuestos!$E$16+Supuestos!$E$49*Supuestos!$E$17)*(1+Supuestos!$E$50)</f>
        <v>1166</v>
      </c>
      <c r="K7" s="6">
        <f>-J7+(Supuestos!$E$10*H7-I7)/(1+Supuestos!$E$5)+(Supuestos!$E$11*H7-I7)/(1+Supuestos!$E$5)^2+(Supuestos!$E$12*H7-I7)/(1+Supuestos!$E$5)^3</f>
        <v>4511.9282897534</v>
      </c>
      <c r="L7" s="6">
        <f>ABS(K7-G7)</f>
        <v>6530.657798833819</v>
      </c>
    </row>
    <row r="8">
      <c r="A8" t="str">
        <v>Reducción de la morosidad (S28)</v>
      </c>
      <c r="B8" t="str">
        <v>0 puntos</v>
      </c>
      <c r="C8" t="str">
        <v>1 punto</v>
      </c>
      <c r="D8" s="6">
        <f>(Supuestos!$E$9*Supuestos!$E$8*(Supuestos!$E$19/60*Supuestos!$E$14+Supuestos!$E$20/60*Supuestos!$E$15))+(Supuestos!$E$9*Supuestos!$E$8*Supuestos!$E$21*Supuestos!$E$22/60*Supuestos!$E$14+Supuestos!$E$23*12*Supuestos!$E$14)+(Supuestos!$E$24/60*Supuestos!$E$25*Supuestos!$E$14+Supuestos!$E$8*Supuestos!$E$26*Supuestos!$E$29*Supuestos!$E$27/60*Supuestos!$E$28*Supuestos!$E$14)+(Supuestos!$E$9*Supuestos!$E$31*Supuestos!$E$32*(Supuestos!$E$33+Supuestos!$E$34*Supuestos!$E$35))+(Supuestos!$E$8*Supuestos!$E$9*Supuestos!$E$31*Supuestos!$D$36)</f>
        <v>4198.333333333333</v>
      </c>
      <c r="E8" s="6">
        <f>(Supuestos!$E$38*Supuestos!$E$39*12*Supuestos!$E$6)+(Supuestos!$E$40*Supuestos!$E$6)+(Supuestos!$E$41*Supuestos!$E$6)+(Supuestos!$E$42*12*Supuestos!$E$17)+(Supuestos!$E$43*12*Supuestos!$E$17)</f>
        <v>2438.366</v>
      </c>
      <c r="F8" s="6">
        <f>(Supuestos!$E$45*Supuestos!$E$15+Supuestos!$E$46*Supuestos!$E$15+Supuestos!$E$47*Supuestos!$E$14+Supuestos!$E$48*Supuestos!$E$16+Supuestos!$E$49*Supuestos!$E$17)*(1+Supuestos!$E$50)</f>
        <v>1166</v>
      </c>
      <c r="G8" s="6">
        <f>-F8+(Supuestos!$E$10*D8-E8)/(1+Supuestos!$E$5)+(Supuestos!$E$11*D8-E8)/(1+Supuestos!$E$5)^2+(Supuestos!$E$12*D8-E8)/(1+Supuestos!$E$5)^3</f>
        <v>593.533610453109</v>
      </c>
      <c r="H8" s="6">
        <f>(Supuestos!$E$9*Supuestos!$E$8*(Supuestos!$E$19/60*Supuestos!$E$14+Supuestos!$E$20/60*Supuestos!$E$15))+(Supuestos!$E$9*Supuestos!$E$8*Supuestos!$E$21*Supuestos!$E$22/60*Supuestos!$E$14+Supuestos!$E$23*12*Supuestos!$E$14)+(Supuestos!$E$24/60*Supuestos!$E$25*Supuestos!$E$14+Supuestos!$E$8*Supuestos!$E$26*Supuestos!$E$29*Supuestos!$E$27/60*Supuestos!$E$28*Supuestos!$E$14)+(Supuestos!$E$9*Supuestos!$E$31*Supuestos!$E$32*(Supuestos!$E$33+Supuestos!$E$34*Supuestos!$E$35))+(Supuestos!$E$8*Supuestos!$E$9*Supuestos!$E$31*Supuestos!$F$36)</f>
        <v>4918.333333333333</v>
      </c>
      <c r="I8" s="6">
        <f>(Supuestos!$E$38*Supuestos!$E$39*12*Supuestos!$E$6)+(Supuestos!$E$40*Supuestos!$E$6)+(Supuestos!$E$41*Supuestos!$E$6)+(Supuestos!$E$42*12*Supuestos!$E$17)+(Supuestos!$E$43*12*Supuestos!$E$17)</f>
        <v>2438.366</v>
      </c>
      <c r="J8" s="6">
        <f>(Supuestos!$E$45*Supuestos!$E$15+Supuestos!$E$46*Supuestos!$E$15+Supuestos!$E$47*Supuestos!$E$14+Supuestos!$E$48*Supuestos!$E$16+Supuestos!$E$49*Supuestos!$E$17)*(1+Supuestos!$E$50)</f>
        <v>1166</v>
      </c>
      <c r="K8" s="6">
        <f>-J8+(Supuestos!$E$10*H8-I8)/(1+Supuestos!$E$5)+(Supuestos!$E$11*H8-I8)/(1+Supuestos!$E$5)^2+(Supuestos!$E$12*H8-I8)/(1+Supuestos!$E$5)^3</f>
        <v>1899.6651702198728</v>
      </c>
      <c r="L8" s="6">
        <f>ABS(K8-G8)</f>
        <v>1306.131559766764</v>
      </c>
    </row>
    <row r="9">
      <c r="A9" t="str">
        <v>Ahorros en pagos, reportes, asistencia y padres (S15 a S21)</v>
      </c>
      <c r="B9" t="str">
        <v>pesimista</v>
      </c>
      <c r="C9" t="str">
        <v>optimista</v>
      </c>
      <c r="D9" s="6">
        <f>(Supuestos!$E$9*Supuestos!$E$8*(Supuestos!$E$19/60*Supuestos!$E$14+Supuestos!$E$20/60*Supuestos!$E$15))+(Supuestos!$E$9*Supuestos!$E$8*Supuestos!$E$21*Supuestos!$D$22/60*Supuestos!$E$14+Supuestos!$D$23*12*Supuestos!$E$14)+(Supuestos!$D$24/60*Supuestos!$E$25*Supuestos!$E$14+Supuestos!$E$8*Supuestos!$E$26*Supuestos!$E$29*Supuestos!$E$27/60*Supuestos!$D$28*Supuestos!$E$14)+(Supuestos!$E$9*Supuestos!$E$31*Supuestos!$E$32*(Supuestos!$E$33+Supuestos!$E$34*Supuestos!$E$35))+(Supuestos!$E$8*Supuestos!$E$9*Supuestos!$E$31*Supuestos!$E$36)</f>
        <v>3966.6666666666665</v>
      </c>
      <c r="E9" s="6">
        <f>(Supuestos!$E$38*Supuestos!$E$39*12*Supuestos!$E$6)+(Supuestos!$E$40*Supuestos!$E$6)+(Supuestos!$E$41*Supuestos!$E$6)+(Supuestos!$E$42*12*Supuestos!$E$17)+(Supuestos!$E$43*12*Supuestos!$E$17)</f>
        <v>2438.366</v>
      </c>
      <c r="F9" s="6">
        <f>(Supuestos!$E$45*Supuestos!$E$15+Supuestos!$E$46*Supuestos!$E$15+Supuestos!$E$47*Supuestos!$E$14+Supuestos!$E$48*Supuestos!$E$16+Supuestos!$E$49*Supuestos!$E$17)*(1+Supuestos!$E$50)</f>
        <v>1166</v>
      </c>
      <c r="G9" s="6">
        <f>-F9+(Supuestos!$E$10*D9-E9)/(1+Supuestos!$E$5)+(Supuestos!$E$11*D9-E9)/(1+Supuestos!$E$5)^2+(Supuestos!$E$12*D9-E9)/(1+Supuestos!$E$5)^3</f>
        <v>173.27368728741487</v>
      </c>
      <c r="H9" s="6">
        <f>(Supuestos!$E$9*Supuestos!$E$8*(Supuestos!$E$19/60*Supuestos!$E$14+Supuestos!$E$20/60*Supuestos!$E$15))+(Supuestos!$E$9*Supuestos!$E$8*Supuestos!$E$21*Supuestos!$F$22/60*Supuestos!$E$14+Supuestos!$F$23*12*Supuestos!$E$14)+(Supuestos!$F$24/60*Supuestos!$E$25*Supuestos!$E$14+Supuestos!$E$8*Supuestos!$E$26*Supuestos!$E$29*Supuestos!$E$27/60*Supuestos!$F$28*Supuestos!$E$14)+(Supuestos!$E$9*Supuestos!$E$31*Supuestos!$E$32*(Supuestos!$E$33+Supuestos!$E$34*Supuestos!$E$35))+(Supuestos!$E$8*Supuestos!$E$9*Supuestos!$E$31*Supuestos!$E$36)</f>
        <v>5030</v>
      </c>
      <c r="I9" s="6">
        <f>(Supuestos!$E$38*Supuestos!$E$39*12*Supuestos!$E$6)+(Supuestos!$E$40*Supuestos!$E$6)+(Supuestos!$E$41*Supuestos!$E$6)+(Supuestos!$E$42*12*Supuestos!$E$17)+(Supuestos!$E$43*12*Supuestos!$E$17)</f>
        <v>2438.366</v>
      </c>
      <c r="J9" s="6">
        <f>(Supuestos!$E$45*Supuestos!$E$15+Supuestos!$E$46*Supuestos!$E$15+Supuestos!$E$47*Supuestos!$E$14+Supuestos!$E$48*Supuestos!$E$16+Supuestos!$E$49*Supuestos!$E$17)*(1+Supuestos!$E$50)</f>
        <v>1166</v>
      </c>
      <c r="K9" s="6">
        <f>-J9+(Supuestos!$E$10*H9-I9)/(1+Supuestos!$E$5)+(Supuestos!$E$11*H9-I9)/(1+Supuestos!$E$5)^2+(Supuestos!$E$12*H9-I9)/(1+Supuestos!$E$5)^3</f>
        <v>2102.2365000911072</v>
      </c>
      <c r="L9" s="6">
        <f>ABS(K9-G9)</f>
        <v>1928.9628128036925</v>
      </c>
    </row>
    <row r="10">
      <c r="A10" t="str">
        <v>Horas de operación y mantenimiento (S33 y S34)</v>
      </c>
      <c r="B10" t="str">
        <v>3 + 5 h/mes</v>
      </c>
      <c r="C10" t="str">
        <v>1,5 + 2 h/mes</v>
      </c>
      <c r="D10" s="6">
        <f>(Supuestos!$E$9*Supuestos!$E$8*(Supuestos!$E$19/60*Supuestos!$E$14+Supuestos!$E$20/60*Supuestos!$E$15))+(Supuestos!$E$9*Supuestos!$E$8*Supuestos!$E$21*Supuestos!$E$22/60*Supuestos!$E$14+Supuestos!$E$23*12*Supuestos!$E$14)+(Supuestos!$E$24/60*Supuestos!$E$25*Supuestos!$E$14+Supuestos!$E$8*Supuestos!$E$26*Supuestos!$E$29*Supuestos!$E$27/60*Supuestos!$E$28*Supuestos!$E$14)+(Supuestos!$E$9*Supuestos!$E$31*Supuestos!$E$32*(Supuestos!$E$33+Supuestos!$E$34*Supuestos!$E$35))+(Supuestos!$E$8*Supuestos!$E$9*Supuestos!$E$31*Supuestos!$E$36)</f>
        <v>4558.333333333333</v>
      </c>
      <c r="E10" s="6">
        <f>(Supuestos!$E$38*Supuestos!$E$39*12*Supuestos!$E$6)+(Supuestos!$E$40*Supuestos!$E$6)+(Supuestos!$E$41*Supuestos!$E$6)+(Supuestos!$D$42*12*Supuestos!$E$17)+(Supuestos!$D$43*12*Supuestos!$E$17)</f>
        <v>3338.366</v>
      </c>
      <c r="F10" s="6">
        <f>(Supuestos!$E$45*Supuestos!$E$15+Supuestos!$E$46*Supuestos!$E$15+Supuestos!$E$47*Supuestos!$E$14+Supuestos!$E$48*Supuestos!$E$16+Supuestos!$E$49*Supuestos!$E$17)*(1+Supuestos!$E$50)</f>
        <v>1166</v>
      </c>
      <c r="G10" s="6">
        <f>-F10+(Supuestos!$E$10*D10-E10)/(1+Supuestos!$E$5)+(Supuestos!$E$11*D10-E10)/(1+Supuestos!$E$5)^2+(Supuestos!$E$12*D10-E10)/(1+Supuestos!$E$5)^3</f>
        <v>-915.048751062926</v>
      </c>
      <c r="H10" s="6">
        <f>(Supuestos!$E$9*Supuestos!$E$8*(Supuestos!$E$19/60*Supuestos!$E$14+Supuestos!$E$20/60*Supuestos!$E$15))+(Supuestos!$E$9*Supuestos!$E$8*Supuestos!$E$21*Supuestos!$E$22/60*Supuestos!$E$14+Supuestos!$E$23*12*Supuestos!$E$14)+(Supuestos!$E$24/60*Supuestos!$E$25*Supuestos!$E$14+Supuestos!$E$8*Supuestos!$E$26*Supuestos!$E$29*Supuestos!$E$27/60*Supuestos!$E$28*Supuestos!$E$14)+(Supuestos!$E$9*Supuestos!$E$31*Supuestos!$E$32*(Supuestos!$E$33+Supuestos!$E$34*Supuestos!$E$35))+(Supuestos!$E$8*Supuestos!$E$9*Supuestos!$E$31*Supuestos!$E$36)</f>
        <v>4558.333333333333</v>
      </c>
      <c r="I10" s="6">
        <f>(Supuestos!$E$38*Supuestos!$E$39*12*Supuestos!$E$6)+(Supuestos!$E$40*Supuestos!$E$6)+(Supuestos!$E$41*Supuestos!$E$6)+(Supuestos!$F$42*12*Supuestos!$E$17)+(Supuestos!$F$43*12*Supuestos!$E$17)</f>
        <v>1988.366</v>
      </c>
      <c r="J10" s="6">
        <f>(Supuestos!$E$45*Supuestos!$E$15+Supuestos!$E$46*Supuestos!$E$15+Supuestos!$E$47*Supuestos!$E$14+Supuestos!$E$48*Supuestos!$E$16+Supuestos!$E$49*Supuestos!$E$17)*(1+Supuestos!$E$50)</f>
        <v>1166</v>
      </c>
      <c r="K10" s="6">
        <f>-J10+(Supuestos!$E$10*H10-I10)/(1+Supuestos!$E$5)+(Supuestos!$E$11*H10-I10)/(1+Supuestos!$E$5)^2+(Supuestos!$E$12*H10-I10)/(1+Supuestos!$E$5)^3</f>
        <v>2327.423461036199</v>
      </c>
      <c r="L10" s="6">
        <f>ABS(K10-G10)</f>
        <v>3242.472212099125</v>
      </c>
    </row>
    <row r="11">
      <c r="A11" t="str">
        <v>Tipo de cambio (S02) ±10 %</v>
      </c>
      <c r="B11" t="str">
        <v>3,74</v>
      </c>
      <c r="C11" t="str">
        <v>3,06</v>
      </c>
      <c r="D11" s="6">
        <f>(Supuestos!$E$9*Supuestos!$E$8*(Supuestos!$E$19/60*Supuestos!$E$14+Supuestos!$E$20/60*Supuestos!$E$15))+(Supuestos!$E$9*Supuestos!$E$8*Supuestos!$E$21*Supuestos!$E$22/60*Supuestos!$E$14+Supuestos!$E$23*12*Supuestos!$E$14)+(Supuestos!$E$24/60*Supuestos!$E$25*Supuestos!$E$14+Supuestos!$E$8*Supuestos!$E$26*Supuestos!$E$29*Supuestos!$E$27/60*Supuestos!$E$28*Supuestos!$E$14)+(Supuestos!$E$9*Supuestos!$E$31*Supuestos!$E$32*(Supuestos!$E$33+Supuestos!$E$34*Supuestos!$E$35))+(Supuestos!$E$8*Supuestos!$E$9*Supuestos!$E$31*Supuestos!$E$36)</f>
        <v>4558.333333333333</v>
      </c>
      <c r="E11" s="6">
        <f>(Supuestos!$E$38*Supuestos!$E$39*12*3.74)+(Supuestos!$E$40*3.74)+(Supuestos!$E$41*3.74)+(Supuestos!$E$42*12*Supuestos!$E$17)+(Supuestos!$E$43*12*Supuestos!$E$17)</f>
        <v>2532.2026</v>
      </c>
      <c r="F11" s="6">
        <f>(Supuestos!$E$45*Supuestos!$E$15+Supuestos!$E$46*Supuestos!$E$15+Supuestos!$E$47*Supuestos!$E$14+Supuestos!$E$48*Supuestos!$E$16+Supuestos!$E$49*Supuestos!$E$17)*(1+Supuestos!$E$50)</f>
        <v>1166</v>
      </c>
      <c r="G11" s="6">
        <f>-F11+(Supuestos!$E$10*D11-E11)/(1+Supuestos!$E$5)+(Supuestos!$E$11*D11-E11)/(1+Supuestos!$E$5)^2+(Supuestos!$E$12*D11-E11)/(1+Supuestos!$E$5)^3</f>
        <v>1021.2197103528899</v>
      </c>
      <c r="H11" s="6">
        <f>(Supuestos!$E$9*Supuestos!$E$8*(Supuestos!$E$19/60*Supuestos!$E$14+Supuestos!$E$20/60*Supuestos!$E$15))+(Supuestos!$E$9*Supuestos!$E$8*Supuestos!$E$21*Supuestos!$E$22/60*Supuestos!$E$14+Supuestos!$E$23*12*Supuestos!$E$14)+(Supuestos!$E$24/60*Supuestos!$E$25*Supuestos!$E$14+Supuestos!$E$8*Supuestos!$E$26*Supuestos!$E$29*Supuestos!$E$27/60*Supuestos!$E$28*Supuestos!$E$14)+(Supuestos!$E$9*Supuestos!$E$31*Supuestos!$E$32*(Supuestos!$E$33+Supuestos!$E$34*Supuestos!$E$35))+(Supuestos!$E$8*Supuestos!$E$9*Supuestos!$E$31*Supuestos!$E$36)</f>
        <v>4558.333333333333</v>
      </c>
      <c r="I11" s="6">
        <f>(Supuestos!$E$38*Supuestos!$E$39*12*3.06)+(Supuestos!$E$40*3.06)+(Supuestos!$E$41*3.06)+(Supuestos!$E$42*12*Supuestos!$E$17)+(Supuestos!$E$43*12*Supuestos!$E$17)</f>
        <v>2344.5294</v>
      </c>
      <c r="J11" s="6">
        <f>(Supuestos!$E$45*Supuestos!$E$15+Supuestos!$E$46*Supuestos!$E$15+Supuestos!$E$47*Supuestos!$E$14+Supuestos!$E$48*Supuestos!$E$16+Supuestos!$E$49*Supuestos!$E$17)*(1+Supuestos!$E$50)</f>
        <v>1166</v>
      </c>
      <c r="K11" s="6">
        <f>-J11+(Supuestos!$E$10*H11-I11)/(1+Supuestos!$E$5)+(Supuestos!$E$11*H11-I11)/(1+Supuestos!$E$5)^2+(Supuestos!$E$12*H11-I11)/(1+Supuestos!$E$5)^3</f>
        <v>1471.9790703200915</v>
      </c>
      <c r="L11" s="6">
        <f>ABS(K11-G11)</f>
        <v>450.7593599672016</v>
      </c>
    </row>
    <row r="12">
      <c r="A12" t="str">
        <v>Tasa de descuento (S01)</v>
      </c>
      <c r="B12" t="str">
        <v>16 %</v>
      </c>
      <c r="C12" t="str">
        <v>8 %</v>
      </c>
      <c r="D12" s="6">
        <f>(Supuestos!$E$9*Supuestos!$E$8*(Supuestos!$E$19/60*Supuestos!$E$14+Supuestos!$E$20/60*Supuestos!$E$15))+(Supuestos!$E$9*Supuestos!$E$8*Supuestos!$E$21*Supuestos!$E$22/60*Supuestos!$E$14+Supuestos!$E$23*12*Supuestos!$E$14)+(Supuestos!$E$24/60*Supuestos!$E$25*Supuestos!$E$14+Supuestos!$E$8*Supuestos!$E$26*Supuestos!$E$29*Supuestos!$E$27/60*Supuestos!$E$28*Supuestos!$E$14)+(Supuestos!$E$9*Supuestos!$E$31*Supuestos!$E$32*(Supuestos!$E$33+Supuestos!$E$34*Supuestos!$E$35))+(Supuestos!$E$8*Supuestos!$E$9*Supuestos!$E$31*Supuestos!$E$36)</f>
        <v>4558.333333333333</v>
      </c>
      <c r="E12" s="6">
        <f>(Supuestos!$E$38*Supuestos!$E$39*12*Supuestos!$E$6)+(Supuestos!$E$40*Supuestos!$E$6)+(Supuestos!$E$41*Supuestos!$E$6)+(Supuestos!$E$42*12*Supuestos!$E$17)+(Supuestos!$E$43*12*Supuestos!$E$17)</f>
        <v>2438.366</v>
      </c>
      <c r="F12" s="6">
        <f>(Supuestos!$E$45*Supuestos!$E$15+Supuestos!$E$46*Supuestos!$E$15+Supuestos!$E$47*Supuestos!$E$14+Supuestos!$E$48*Supuestos!$E$16+Supuestos!$E$49*Supuestos!$E$17)*(1+Supuestos!$E$50)</f>
        <v>1166</v>
      </c>
      <c r="G12" s="6">
        <f>-F12+(Supuestos!$E$10*D12-E12)/(1+0.16)+(Supuestos!$E$11*D12-E12)/(1+0.16)^2+(Supuestos!$E$12*D12-E12)/(1+0.16)^3</f>
        <v>1053.8234115106538</v>
      </c>
      <c r="H12" s="6">
        <f>(Supuestos!$E$9*Supuestos!$E$8*(Supuestos!$E$19/60*Supuestos!$E$14+Supuestos!$E$20/60*Supuestos!$E$15))+(Supuestos!$E$9*Supuestos!$E$8*Supuestos!$E$21*Supuestos!$E$22/60*Supuestos!$E$14+Supuestos!$E$23*12*Supuestos!$E$14)+(Supuestos!$E$24/60*Supuestos!$E$25*Supuestos!$E$14+Supuestos!$E$8*Supuestos!$E$26*Supuestos!$E$29*Supuestos!$E$27/60*Supuestos!$E$28*Supuestos!$E$14)+(Supuestos!$E$9*Supuestos!$E$31*Supuestos!$E$32*(Supuestos!$E$33+Supuestos!$E$34*Supuestos!$E$35))+(Supuestos!$E$8*Supuestos!$E$9*Supuestos!$E$31*Supuestos!$E$36)</f>
        <v>4558.333333333333</v>
      </c>
      <c r="I12" s="6">
        <f>(Supuestos!$E$38*Supuestos!$E$39*12*Supuestos!$E$6)+(Supuestos!$E$40*Supuestos!$E$6)+(Supuestos!$E$41*Supuestos!$E$6)+(Supuestos!$E$42*12*Supuestos!$E$17)+(Supuestos!$E$43*12*Supuestos!$E$17)</f>
        <v>2438.366</v>
      </c>
      <c r="J12" s="6">
        <f>(Supuestos!$E$45*Supuestos!$E$15+Supuestos!$E$46*Supuestos!$E$15+Supuestos!$E$47*Supuestos!$E$14+Supuestos!$E$48*Supuestos!$E$16+Supuestos!$E$49*Supuestos!$E$17)*(1+Supuestos!$E$50)</f>
        <v>1166</v>
      </c>
      <c r="K12" s="6">
        <f>-J12+(Supuestos!$E$10*H12-I12)/(1+0.08)+(Supuestos!$E$11*H12-I12)/(1+0.08)^2+(Supuestos!$E$12*H12-I12)/(1+0.08)^3</f>
        <v>1465.6274018188274</v>
      </c>
      <c r="L12" s="6">
        <f>ABS(K12-G12)</f>
        <v>411.8039903081735</v>
      </c>
    </row>
    <row r="13">
      <c r="A13" t="str">
        <v>Hosting de la SPA (S29): 2 miembros Pro o alternativa sin costo</v>
      </c>
      <c r="B13" t="str">
        <v>US$ 40</v>
      </c>
      <c r="C13" t="str">
        <v>US$ 0</v>
      </c>
      <c r="D13" s="6">
        <f>(Supuestos!$E$9*Supuestos!$E$8*(Supuestos!$E$19/60*Supuestos!$E$14+Supuestos!$E$20/60*Supuestos!$E$15))+(Supuestos!$E$9*Supuestos!$E$8*Supuestos!$E$21*Supuestos!$E$22/60*Supuestos!$E$14+Supuestos!$E$23*12*Supuestos!$E$14)+(Supuestos!$E$24/60*Supuestos!$E$25*Supuestos!$E$14+Supuestos!$E$8*Supuestos!$E$26*Supuestos!$E$29*Supuestos!$E$27/60*Supuestos!$E$28*Supuestos!$E$14)+(Supuestos!$E$9*Supuestos!$E$31*Supuestos!$E$32*(Supuestos!$E$33+Supuestos!$E$34*Supuestos!$E$35))+(Supuestos!$E$8*Supuestos!$E$9*Supuestos!$E$31*Supuestos!$E$36)</f>
        <v>4558.333333333333</v>
      </c>
      <c r="E13" s="6">
        <f>(40*Supuestos!$E$39*12*Supuestos!$E$6)+(Supuestos!$E$40*Supuestos!$E$6)+(Supuestos!$E$41*Supuestos!$E$6)+(Supuestos!$E$42*12*Supuestos!$E$17)+(Supuestos!$E$43*12*Supuestos!$E$17)</f>
        <v>3254.366</v>
      </c>
      <c r="F13" s="6">
        <f>(Supuestos!$E$45*Supuestos!$E$15+Supuestos!$E$46*Supuestos!$E$15+Supuestos!$E$47*Supuestos!$E$14+Supuestos!$E$48*Supuestos!$E$16+Supuestos!$E$49*Supuestos!$E$17)*(1+Supuestos!$E$50)</f>
        <v>1166</v>
      </c>
      <c r="G13" s="6">
        <f>-F13+(Supuestos!$E$10*D13-E13)/(1+Supuestos!$E$5)+(Supuestos!$E$11*D13-E13)/(1+Supuestos!$E$5)^2+(Supuestos!$E$12*D13-E13)/(1+Supuestos!$E$5)^3</f>
        <v>-713.2949245323138</v>
      </c>
      <c r="H13" s="6">
        <f>(Supuestos!$E$9*Supuestos!$E$8*(Supuestos!$E$19/60*Supuestos!$E$14+Supuestos!$E$20/60*Supuestos!$E$15))+(Supuestos!$E$9*Supuestos!$E$8*Supuestos!$E$21*Supuestos!$E$22/60*Supuestos!$E$14+Supuestos!$E$23*12*Supuestos!$E$14)+(Supuestos!$E$24/60*Supuestos!$E$25*Supuestos!$E$14+Supuestos!$E$8*Supuestos!$E$26*Supuestos!$E$29*Supuestos!$E$27/60*Supuestos!$E$28*Supuestos!$E$14)+(Supuestos!$E$9*Supuestos!$E$31*Supuestos!$E$32*(Supuestos!$E$33+Supuestos!$E$34*Supuestos!$E$35))+(Supuestos!$E$8*Supuestos!$E$9*Supuestos!$E$31*Supuestos!$E$36)</f>
        <v>4558.333333333333</v>
      </c>
      <c r="I13" s="6">
        <f>(0*Supuestos!$E$39*12*Supuestos!$E$6)+(Supuestos!$E$40*Supuestos!$E$6)+(Supuestos!$E$41*Supuestos!$E$6)+(Supuestos!$E$42*12*Supuestos!$E$17)+(Supuestos!$E$43*12*Supuestos!$E$17)</f>
        <v>1622.366</v>
      </c>
      <c r="J13" s="6">
        <f>(Supuestos!$E$45*Supuestos!$E$15+Supuestos!$E$46*Supuestos!$E$15+Supuestos!$E$47*Supuestos!$E$14+Supuestos!$E$48*Supuestos!$E$16+Supuestos!$E$49*Supuestos!$E$17)*(1+Supuestos!$E$50)</f>
        <v>1166</v>
      </c>
      <c r="K13" s="6">
        <f>-J13+(Supuestos!$E$10*H13-I13)/(1+Supuestos!$E$5)+(Supuestos!$E$11*H13-I13)/(1+Supuestos!$E$5)^2+(Supuestos!$E$12*H13-I13)/(1+Supuestos!$E$5)^3</f>
        <v>3206.493705205295</v>
      </c>
      <c r="L13" s="6">
        <f>ABS(K13-G13)</f>
        <v>3919.788629737609</v>
      </c>
    </row>
    <row r="15">
      <c r="A15" t="str">
        <v>VAN de la vista A en el escenario base (referencia)</v>
      </c>
      <c r="G15" s="6">
        <f>Indicadores!D5</f>
        <v>1246.5993903364915</v>
      </c>
    </row>
  </sheetData>
  <ignoredErrors>
    <ignoredError numberStoredAsText="1" sqref="A1:L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cols>
    <col min="1" max="1" width="64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6.83203125" customWidth="1"/>
  </cols>
  <sheetData>
    <row r="1">
      <c r="A1" t="str">
        <v>Alternativas: valor actual del costo incremental para CERMAT a 3 años y matriz de decisión ponderada (puntajes 1 a 5)</v>
      </c>
    </row>
    <row r="3">
      <c r="A3" t="str">
        <v>Alternativa</v>
      </c>
      <c r="B3" t="str">
        <v>Inversión inicial (S/)</v>
      </c>
      <c r="C3" t="str">
        <v>Costo anual (S/)</v>
      </c>
      <c r="D3" t="str">
        <v>VA del costo a 3 años (S/)</v>
      </c>
      <c r="E3" t="str">
        <v>Puntaje de costo (1–5)</v>
      </c>
      <c r="F3" t="str">
        <v>Base del cálculo</v>
      </c>
    </row>
    <row r="4">
      <c r="A4" t="str">
        <v>A. Mantener el proceso manual (cuaderno, hojas y WhatsApp)</v>
      </c>
      <c r="B4" s="6">
        <f>0</f>
        <v>0</v>
      </c>
      <c r="C4" s="6">
        <f>0</f>
        <v>0</v>
      </c>
      <c r="D4" s="6">
        <f>B4+NPV(Supuestos!$E$5,C4,C4,C4)</f>
        <v>0</v>
      </c>
      <c r="E4" s="3">
        <f>IF(D4&lt;=2000,5,IF(D4&lt;=5000,4,IF(D4&lt;=8000,3,IF(D4&lt;=12000,2,1))))</f>
        <v>5</v>
      </c>
      <c r="F4" t="str">
        <v>Sin desembolso; no resuelve el problema.</v>
      </c>
    </row>
    <row r="5">
      <c r="A5" t="str">
        <v>B. Formularios y hojas de cálculo compartidas (Google Workspace)</v>
      </c>
      <c r="B5" s="6">
        <f>Supuestos!$E$56*Supuestos!$E$17</f>
        <v>500</v>
      </c>
      <c r="C5" s="6">
        <f>Supuestos!$E$57*12*Supuestos!$E$17</f>
        <v>300</v>
      </c>
      <c r="D5" s="6">
        <f>B5+NPV(Supuestos!$E$5,C5,C5,C5)</f>
        <v>1220.549380466472</v>
      </c>
      <c r="E5" s="3">
        <f>IF(D5&lt;=2000,5,IF(D5&lt;=5000,4,IF(D5&lt;=8000,3,IF(D5&lt;=12000,2,1))))</f>
        <v>5</v>
      </c>
      <c r="F5" t="str">
        <v>S45, S46 y S11.</v>
      </c>
    </row>
    <row r="6">
      <c r="A6" t="str">
        <v>C. Software SaaS de gestión académica</v>
      </c>
      <c r="B6" s="6">
        <f>Supuestos!$E$55*Supuestos!$E$17</f>
        <v>500</v>
      </c>
      <c r="C6" s="6">
        <f>Supuestos!$E$54*Supuestos!$E$8*12*Supuestos!$E$6</f>
        <v>4896</v>
      </c>
      <c r="D6" s="6">
        <f>B6+NPV(Supuestos!$E$5,C6,C6,C6)</f>
        <v>12259.365889212826</v>
      </c>
      <c r="E6" s="3">
        <f>IF(D6&lt;=2000,5,IF(D6&lt;=5000,4,IF(D6&lt;=8000,3,IF(D6&lt;=12000,2,1))))</f>
        <v>1</v>
      </c>
      <c r="F6" t="str">
        <v>S43, S44, S03 y S02.</v>
      </c>
    </row>
    <row r="7">
      <c r="A7" t="str">
        <v>D. Plataforma propia (elegida, vista A)</v>
      </c>
      <c r="B7" s="6">
        <f>'Flujo de caja'!B60</f>
        <v>1166</v>
      </c>
      <c r="C7" s="6">
        <f>'Flujo de caja'!C58</f>
        <v>2438.366</v>
      </c>
      <c r="D7" s="6">
        <f>B7+NPV(Supuestos!$E$5,C7,C7,C7)</f>
        <v>7022.5437021683665</v>
      </c>
      <c r="E7" s="3">
        <f>IF(D7&lt;=2000,5,IF(D7&lt;=5000,4,IF(D7&lt;=8000,3,IF(D7&lt;=12000,2,1))))</f>
        <v>3</v>
      </c>
      <c r="F7" t="str">
        <v>Inversión y costos de operación del flujo base.</v>
      </c>
    </row>
    <row r="8">
      <c r="A8" t="str">
        <v>E. Extender el sistema del colegio (Laravel y Angular)</v>
      </c>
      <c r="B8" s="6">
        <f>Supuestos!$E$58*Supuestos!$E$17</f>
        <v>10000</v>
      </c>
      <c r="C8" s="6">
        <f>Supuestos!$E$59*12*Supuestos!$E$17</f>
        <v>900</v>
      </c>
      <c r="D8" s="6">
        <f>B8+NPV(Supuestos!$E$5,C8,C8,C8)</f>
        <v>12161.648141399417</v>
      </c>
      <c r="E8" s="3">
        <f>IF(D8&lt;=2000,5,IF(D8&lt;=5000,4,IF(D8&lt;=8000,3,IF(D8&lt;=12000,2,1))))</f>
        <v>1</v>
      </c>
      <c r="F8" t="str">
        <v>S47, S48 y S11; usa el VPS existente.</v>
      </c>
    </row>
    <row r="9">
      <c r="A9" t="str">
        <v>Regla del puntaje de costo: ≤ S/ 2 000 = 5; ≤ 5 000 = 4; ≤ 8 000 = 3; ≤ 12 000 = 2; &gt; 12 000 = 1.</v>
      </c>
    </row>
    <row r="11">
      <c r="A11" t="str">
        <v>Matriz de decisión ponderada</v>
      </c>
      <c r="B11" t="str">
        <v>Ajuste al proceso de CERMAT (ciclos, grupos, sedes, turnos, cuotas, QR, código de padres)</v>
      </c>
      <c r="C11" t="str">
        <v>Costo incremental para CERMAT a 3 años</v>
      </c>
      <c r="D11" t="str">
        <v>Control de cupos y calidad de datos (sobrecupo, duplicados, trazabilidad)</v>
      </c>
      <c r="E11" t="str">
        <v>Seguridad y protección de datos (roles, Ley N.° 29733)</v>
      </c>
      <c r="F11" t="str">
        <v>Integración con el ecosistema y escalabilidad multi-sede</v>
      </c>
      <c r="G11" t="str">
        <v>Tiempo y riesgo de puesta en marcha para la campaña 2027</v>
      </c>
      <c r="H11" t="str">
        <v>Total ponderado</v>
      </c>
    </row>
    <row r="12">
      <c r="A12" t="str">
        <v>Peso</v>
      </c>
      <c r="B12" s="4">
        <v>0.25</v>
      </c>
      <c r="C12" s="4">
        <v>0.2</v>
      </c>
      <c r="D12" s="4">
        <v>0.15</v>
      </c>
      <c r="E12" s="4">
        <v>0.15</v>
      </c>
      <c r="F12" s="4">
        <v>0.15</v>
      </c>
      <c r="G12" s="4">
        <v>0.1</v>
      </c>
      <c r="H12" s="4">
        <f>SUM(B12:G12)</f>
        <v>1</v>
      </c>
    </row>
    <row r="13">
      <c r="A13" t="str">
        <v>A. Mantener el proceso manual (cuaderno, hojas y WhatsApp)</v>
      </c>
      <c r="B13" s="3">
        <v>2</v>
      </c>
      <c r="C13" s="3">
        <f>E4</f>
        <v>5</v>
      </c>
      <c r="D13" s="3">
        <v>1</v>
      </c>
      <c r="E13" s="3">
        <v>2</v>
      </c>
      <c r="F13" s="3">
        <v>1</v>
      </c>
      <c r="G13" s="3">
        <v>5</v>
      </c>
      <c r="H13" s="2">
        <f>SUMPRODUCT(B13:G13,$B$12:$G$12)</f>
        <v>2.6</v>
      </c>
    </row>
    <row r="14">
      <c r="A14" t="str">
        <v>B. Formularios y hojas de cálculo compartidas (Google Workspace)</v>
      </c>
      <c r="B14" s="3">
        <v>2</v>
      </c>
      <c r="C14" s="3">
        <f>E5</f>
        <v>5</v>
      </c>
      <c r="D14" s="3">
        <v>2</v>
      </c>
      <c r="E14" s="3">
        <v>2</v>
      </c>
      <c r="F14" s="3">
        <v>2</v>
      </c>
      <c r="G14" s="3">
        <v>5</v>
      </c>
      <c r="H14" s="2">
        <f>SUMPRODUCT(B14:G14,$B$12:$G$12)</f>
        <v>2.9</v>
      </c>
    </row>
    <row r="15">
      <c r="A15" t="str">
        <v>C. Software SaaS de gestión académica</v>
      </c>
      <c r="B15" s="3">
        <v>3</v>
      </c>
      <c r="C15" s="3">
        <f>E6</f>
        <v>1</v>
      </c>
      <c r="D15" s="3">
        <v>4</v>
      </c>
      <c r="E15" s="3">
        <v>3</v>
      </c>
      <c r="F15" s="3">
        <v>2</v>
      </c>
      <c r="G15" s="3">
        <v>3</v>
      </c>
      <c r="H15" s="2">
        <f>SUMPRODUCT(B15:G15,$B$12:$G$12)</f>
        <v>2.5999999999999996</v>
      </c>
    </row>
    <row r="16">
      <c r="A16" t="str">
        <v>D. Plataforma propia (elegida, vista A)</v>
      </c>
      <c r="B16" s="3">
        <v>5</v>
      </c>
      <c r="C16" s="3">
        <f>E7</f>
        <v>3</v>
      </c>
      <c r="D16" s="3">
        <v>5</v>
      </c>
      <c r="E16" s="3">
        <v>4</v>
      </c>
      <c r="F16" s="3">
        <v>4</v>
      </c>
      <c r="G16" s="3">
        <v>4</v>
      </c>
      <c r="H16" s="2">
        <f>SUMPRODUCT(B16:G16,$B$12:$G$12)</f>
        <v>4.2</v>
      </c>
    </row>
    <row r="17">
      <c r="A17" t="str">
        <v>E. Extender el sistema del colegio (Laravel y Angular)</v>
      </c>
      <c r="B17" s="3">
        <v>3</v>
      </c>
      <c r="C17" s="3">
        <f>E8</f>
        <v>1</v>
      </c>
      <c r="D17" s="3">
        <v>4</v>
      </c>
      <c r="E17" s="3">
        <v>4</v>
      </c>
      <c r="F17" s="3">
        <v>5</v>
      </c>
      <c r="G17" s="3">
        <v>1</v>
      </c>
      <c r="H17" s="2">
        <f>SUMPRODUCT(B17:G17,$B$12:$G$12)</f>
        <v>3</v>
      </c>
    </row>
    <row r="18">
      <c r="A18" t="str">
        <v>Alternativa con mayor puntaje</v>
      </c>
      <c r="H18" t="str">
        <f>INDEX(A13:A17,MATCH(MAX(H13:H17),H13:H17,0))</f>
        <v>D. Plataforma propia (elegida, vista A)</v>
      </c>
    </row>
    <row r="20">
      <c r="A20" t="str">
        <v>Prueba de robustez: se sube 10 puntos el peso de un criterio y se reescalan los demás</v>
      </c>
      <c r="B20" t="str">
        <v>+10 en criterio 1</v>
      </c>
      <c r="C20" t="str">
        <v>+10 en criterio 2</v>
      </c>
      <c r="D20" t="str">
        <v>+10 en criterio 3</v>
      </c>
      <c r="E20" t="str">
        <v>+10 en criterio 4</v>
      </c>
      <c r="F20" t="str">
        <v>+10 en criterio 5</v>
      </c>
      <c r="G20" t="str">
        <v>+10 en criterio 6</v>
      </c>
    </row>
    <row r="21">
      <c r="A21" t="str">
        <v>Peso del criterio 1</v>
      </c>
      <c r="B21" s="1">
        <f>B$12+0.1</f>
        <v>0.35</v>
      </c>
      <c r="C21" s="1">
        <f>B$12*(1-(C$12+0.1))/(1-C$12)</f>
        <v>0.21874999999999997</v>
      </c>
      <c r="D21" s="1">
        <f>B$12*(1-(D$12+0.1))/(1-D$12)</f>
        <v>0.22058823529411764</v>
      </c>
      <c r="E21" s="1">
        <f>B$12*(1-(E$12+0.1))/(1-E$12)</f>
        <v>0.22058823529411764</v>
      </c>
      <c r="F21" s="1">
        <f>B$12*(1-(F$12+0.1))/(1-F$12)</f>
        <v>0.22058823529411764</v>
      </c>
      <c r="G21" s="1">
        <f>B$12*(1-(G$12+0.1))/(1-G$12)</f>
        <v>0.22222222222222224</v>
      </c>
    </row>
    <row r="22">
      <c r="A22" t="str">
        <v>Peso del criterio 2</v>
      </c>
      <c r="B22" s="1">
        <f>C$12*(1-(B$12+0.1))/(1-B$12)</f>
        <v>0.17333333333333334</v>
      </c>
      <c r="C22" s="1">
        <f>C$12+0.1</f>
        <v>0.30000000000000004</v>
      </c>
      <c r="D22" s="1">
        <f>C$12*(1-(D$12+0.1))/(1-D$12)</f>
        <v>0.17647058823529416</v>
      </c>
      <c r="E22" s="1">
        <f>C$12*(1-(E$12+0.1))/(1-E$12)</f>
        <v>0.17647058823529416</v>
      </c>
      <c r="F22" s="1">
        <f>C$12*(1-(F$12+0.1))/(1-F$12)</f>
        <v>0.17647058823529416</v>
      </c>
      <c r="G22" s="1">
        <f>C$12*(1-(G$12+0.1))/(1-G$12)</f>
        <v>0.1777777777777778</v>
      </c>
    </row>
    <row r="23">
      <c r="A23" t="str">
        <v>Peso del criterio 3</v>
      </c>
      <c r="B23" s="1">
        <f>D$12*(1-(B$12+0.1))/(1-B$12)</f>
        <v>0.13</v>
      </c>
      <c r="C23" s="1">
        <f>D$12*(1-(C$12+0.1))/(1-C$12)</f>
        <v>0.13124999999999998</v>
      </c>
      <c r="D23" s="1">
        <f>D$12+0.1</f>
        <v>0.25</v>
      </c>
      <c r="E23" s="1">
        <f>D$12*(1-(E$12+0.1))/(1-E$12)</f>
        <v>0.1323529411764706</v>
      </c>
      <c r="F23" s="1">
        <f>D$12*(1-(F$12+0.1))/(1-F$12)</f>
        <v>0.1323529411764706</v>
      </c>
      <c r="G23" s="1">
        <f>D$12*(1-(G$12+0.1))/(1-G$12)</f>
        <v>0.13333333333333333</v>
      </c>
    </row>
    <row r="24">
      <c r="A24" t="str">
        <v>Peso del criterio 4</v>
      </c>
      <c r="B24" s="1">
        <f>E$12*(1-(B$12+0.1))/(1-B$12)</f>
        <v>0.13</v>
      </c>
      <c r="C24" s="1">
        <f>E$12*(1-(C$12+0.1))/(1-C$12)</f>
        <v>0.13124999999999998</v>
      </c>
      <c r="D24" s="1">
        <f>E$12*(1-(D$12+0.1))/(1-D$12)</f>
        <v>0.1323529411764706</v>
      </c>
      <c r="E24" s="1">
        <f>E$12+0.1</f>
        <v>0.25</v>
      </c>
      <c r="F24" s="1">
        <f>E$12*(1-(F$12+0.1))/(1-F$12)</f>
        <v>0.1323529411764706</v>
      </c>
      <c r="G24" s="1">
        <f>E$12*(1-(G$12+0.1))/(1-G$12)</f>
        <v>0.13333333333333333</v>
      </c>
    </row>
    <row r="25">
      <c r="A25" t="str">
        <v>Peso del criterio 5</v>
      </c>
      <c r="B25" s="1">
        <f>F$12*(1-(B$12+0.1))/(1-B$12)</f>
        <v>0.13</v>
      </c>
      <c r="C25" s="1">
        <f>F$12*(1-(C$12+0.1))/(1-C$12)</f>
        <v>0.13124999999999998</v>
      </c>
      <c r="D25" s="1">
        <f>F$12*(1-(D$12+0.1))/(1-D$12)</f>
        <v>0.1323529411764706</v>
      </c>
      <c r="E25" s="1">
        <f>F$12*(1-(E$12+0.1))/(1-E$12)</f>
        <v>0.1323529411764706</v>
      </c>
      <c r="F25" s="1">
        <f>F$12+0.1</f>
        <v>0.25</v>
      </c>
      <c r="G25" s="1">
        <f>F$12*(1-(G$12+0.1))/(1-G$12)</f>
        <v>0.13333333333333333</v>
      </c>
    </row>
    <row r="26">
      <c r="A26" t="str">
        <v>Peso del criterio 6</v>
      </c>
      <c r="B26" s="1">
        <f>G$12*(1-(B$12+0.1))/(1-B$12)</f>
        <v>0.08666666666666667</v>
      </c>
      <c r="C26" s="1">
        <f>G$12*(1-(C$12+0.1))/(1-C$12)</f>
        <v>0.08749999999999998</v>
      </c>
      <c r="D26" s="1">
        <f>G$12*(1-(D$12+0.1))/(1-D$12)</f>
        <v>0.08823529411764708</v>
      </c>
      <c r="E26" s="1">
        <f>G$12*(1-(E$12+0.1))/(1-E$12)</f>
        <v>0.08823529411764708</v>
      </c>
      <c r="F26" s="1">
        <f>G$12*(1-(F$12+0.1))/(1-F$12)</f>
        <v>0.08823529411764708</v>
      </c>
      <c r="G26" s="1">
        <f>G$12+0.1</f>
        <v>0.2</v>
      </c>
    </row>
    <row r="27">
      <c r="A27" t="str">
        <v>Total: A</v>
      </c>
      <c r="B27" s="2">
        <f>B$13*B21+C$13*B22+D$13*B23+E$13*B24+F$13*B25+G$13*B26</f>
        <v>2.5200000000000005</v>
      </c>
      <c r="C27" s="2">
        <f>B$13*C21+C$13*C22+D$13*C23+E$13*C24+F$13*C25+G$13*C26</f>
        <v>2.9</v>
      </c>
      <c r="D27" s="2">
        <f>B$13*D21+C$13*D22+D$13*D23+E$13*D24+F$13*D25+G$13*D26</f>
        <v>2.4117647058823533</v>
      </c>
      <c r="E27" s="2">
        <f>B$13*E21+C$13*E22+D$13*E23+E$13*E24+F$13*E25+G$13*E26</f>
        <v>2.5294117647058827</v>
      </c>
      <c r="F27" s="2">
        <f>B$13*F21+C$13*F22+D$13*F23+E$13*F24+F$13*F25+G$13*F26</f>
        <v>2.4117647058823533</v>
      </c>
      <c r="G27" s="2">
        <f>B$13*G21+C$13*G22+D$13*G23+E$13*G24+F$13*G25+G$13*G26</f>
        <v>2.8666666666666667</v>
      </c>
    </row>
    <row r="28">
      <c r="A28" t="str">
        <v>Total: B</v>
      </c>
      <c r="B28" s="2">
        <f>B$14*B21+C$14*B22+D$14*B23+E$14*B24+F$14*B25+G$14*B26</f>
        <v>2.7800000000000002</v>
      </c>
      <c r="C28" s="2">
        <f>B$14*C21+C$14*C22+D$14*C23+E$14*C24+F$14*C25+G$14*C26</f>
        <v>3.1625000000000005</v>
      </c>
      <c r="D28" s="2">
        <f>B$14*D21+C$14*D22+D$14*D23+E$14*D24+F$14*D25+G$14*D26</f>
        <v>2.794117647058824</v>
      </c>
      <c r="E28" s="2">
        <f>B$14*E21+C$14*E22+D$14*E23+E$14*E24+F$14*E25+G$14*E26</f>
        <v>2.794117647058824</v>
      </c>
      <c r="F28" s="2">
        <f>B$14*F21+C$14*F22+D$14*F23+E$14*F24+F$14*F25+G$14*F26</f>
        <v>2.794117647058824</v>
      </c>
      <c r="G28" s="2">
        <f>B$14*G21+C$14*G22+D$14*G23+E$14*G24+F$14*G25+G$14*G26</f>
        <v>3.1333333333333333</v>
      </c>
    </row>
    <row r="29">
      <c r="A29" t="str">
        <v>Total: C</v>
      </c>
      <c r="B29" s="2">
        <f>B$15*B21+C$15*B22+D$15*B23+E$15*B24+F$15*B25+G$15*B26</f>
        <v>2.6533333333333333</v>
      </c>
      <c r="C29" s="2">
        <f>B$15*C21+C$15*C22+D$15*C23+E$15*C24+F$15*C25+G$15*C26</f>
        <v>2.3999999999999995</v>
      </c>
      <c r="D29" s="2">
        <f>B$15*D21+C$15*D22+D$15*D23+E$15*D24+F$15*D25+G$15*D26</f>
        <v>2.764705882352941</v>
      </c>
      <c r="E29" s="2">
        <f>B$15*E21+C$15*E22+D$15*E23+E$15*E24+F$15*E25+G$15*E26</f>
        <v>2.6470588235294117</v>
      </c>
      <c r="F29" s="2">
        <f>B$15*F21+C$15*F22+D$15*F23+E$15*F24+F$15*F25+G$15*F26</f>
        <v>2.5294117647058822</v>
      </c>
      <c r="G29" s="2">
        <f>B$15*G21+C$15*G22+D$15*G23+E$15*G24+F$15*G25+G$15*G26</f>
        <v>2.6444444444444444</v>
      </c>
    </row>
    <row r="30">
      <c r="A30" t="str">
        <v>Total: D</v>
      </c>
      <c r="B30" s="2">
        <f>B$16*B21+C$16*B22+D$16*B23+E$16*B24+F$16*B25+G$16*B26</f>
        <v>4.306666666666667</v>
      </c>
      <c r="C30" s="2">
        <f>B$16*C21+C$16*C22+D$16*C23+E$16*C24+F$16*C25+G$16*C26</f>
        <v>4.05</v>
      </c>
      <c r="D30" s="2">
        <f>B$16*D21+C$16*D22+D$16*D23+E$16*D24+F$16*D25+G$16*D26</f>
        <v>4.294117647058824</v>
      </c>
      <c r="E30" s="2">
        <f>B$16*E21+C$16*E22+D$16*E23+E$16*E24+F$16*E25+G$16*E26</f>
        <v>4.176470588235294</v>
      </c>
      <c r="F30" s="2">
        <f>B$16*F21+C$16*F22+D$16*F23+E$16*F24+F$16*F25+G$16*F26</f>
        <v>4.176470588235294</v>
      </c>
      <c r="G30" s="2">
        <f>B$16*G21+C$16*G22+D$16*G23+E$16*G24+F$16*G25+G$16*G26</f>
        <v>4.177777777777778</v>
      </c>
    </row>
    <row r="31">
      <c r="A31" t="str">
        <v>Total: E</v>
      </c>
      <c r="B31" s="2">
        <f>B$17*B21+C$17*B22+D$17*B23+E$17*B24+F$17*B25+G$17*B26</f>
        <v>3</v>
      </c>
      <c r="C31" s="2">
        <f>B$17*C21+C$17*C22+D$17*C23+E$17*C24+F$17*C25+G$17*C26</f>
        <v>2.7499999999999996</v>
      </c>
      <c r="D31" s="2">
        <f>B$17*D21+C$17*D22+D$17*D23+E$17*D24+F$17*D25+G$17*D26</f>
        <v>3.1176470588235294</v>
      </c>
      <c r="E31" s="2">
        <f>B$17*E21+C$17*E22+D$17*E23+E$17*E24+F$17*E25+G$17*E26</f>
        <v>3.1176470588235294</v>
      </c>
      <c r="F31" s="2">
        <f>B$17*F21+C$17*F22+D$17*F23+E$17*F24+F$17*F25+G$17*F26</f>
        <v>3.235294117647059</v>
      </c>
      <c r="G31" s="2">
        <f>B$17*G21+C$17*G22+D$17*G23+E$17*G24+F$17*G25+G$17*G26</f>
        <v>2.7777777777777777</v>
      </c>
    </row>
    <row r="32">
      <c r="A32" t="str">
        <v>Gana en la variante</v>
      </c>
      <c r="B32" t="str">
        <f>INDEX($A$13:$A$17,MATCH(MAX(B27:B31),B27:B31,0))</f>
        <v>D. Plataforma propia (elegida, vista A)</v>
      </c>
      <c r="C32" t="str">
        <f>INDEX($A$13:$A$17,MATCH(MAX(C27:C31),C27:C31,0))</f>
        <v>D. Plataforma propia (elegida, vista A)</v>
      </c>
      <c r="D32" t="str">
        <f>INDEX($A$13:$A$17,MATCH(MAX(D27:D31),D27:D31,0))</f>
        <v>D. Plataforma propia (elegida, vista A)</v>
      </c>
      <c r="E32" t="str">
        <f>INDEX($A$13:$A$17,MATCH(MAX(E27:E31),E27:E31,0))</f>
        <v>D. Plataforma propia (elegida, vista A)</v>
      </c>
      <c r="F32" t="str">
        <f>INDEX($A$13:$A$17,MATCH(MAX(F27:F31),F27:F31,0))</f>
        <v>D. Plataforma propia (elegida, vista A)</v>
      </c>
      <c r="G32" t="str">
        <f>INDEX($A$13:$A$17,MATCH(MAX(G27:G31),G27:G31,0))</f>
        <v>D. Plataforma propia (elegida, vista A)</v>
      </c>
    </row>
  </sheetData>
  <ignoredErrors>
    <ignoredError numberStoredAsText="1" sqref="A1: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Léame</vt:lpstr>
      <vt:lpstr>Supuestos</vt:lpstr>
      <vt:lpstr>Proceso</vt:lpstr>
      <vt:lpstr>Presupuesto</vt:lpstr>
      <vt:lpstr>Flujo de caja</vt:lpstr>
      <vt:lpstr>Indicadores</vt:lpstr>
      <vt:lpstr>Sensibilidad</vt:lpstr>
      <vt:lpstr>Alternativas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2026-10-24T12:00:00Z</dcterms:created>
  <dc:creator>Equipo EPE CERMAT (UPeU Juliaca, 2026-2)</dc:creator>
  <dc:subject>Gestión TI E2 (CE0113) y presupuesto E3</dc:subject>
  <dc:title>Business Case — Plataforma Web Integral CERMAT</dc:title>
</cp:coreProperties>
</file>